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713FD53F-F59E-4648-9A70-EFC33B60AC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verall Report" sheetId="6" r:id="rId1"/>
    <sheet name="March" sheetId="1" r:id="rId2"/>
    <sheet name="April" sheetId="2" r:id="rId3"/>
    <sheet name="May" sheetId="3" r:id="rId4"/>
    <sheet name="June" sheetId="4" r:id="rId5"/>
    <sheet name="July" sheetId="5" r:id="rId6"/>
    <sheet name="August" sheetId="7" r:id="rId7"/>
    <sheet name="September" sheetId="8" r:id="rId8"/>
    <sheet name="October" sheetId="9" r:id="rId9"/>
    <sheet name="November" sheetId="10" r:id="rId10"/>
    <sheet name="December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3" i="11" l="1"/>
  <c r="AJ23" i="11"/>
  <c r="AI23" i="11"/>
  <c r="AK22" i="11"/>
  <c r="AJ22" i="11"/>
  <c r="AI22" i="11"/>
  <c r="AK21" i="11"/>
  <c r="AJ21" i="11"/>
  <c r="AI21" i="11"/>
  <c r="AK20" i="11"/>
  <c r="AJ20" i="11"/>
  <c r="AI20" i="11"/>
  <c r="AK19" i="11"/>
  <c r="AJ19" i="11"/>
  <c r="AI19" i="11"/>
  <c r="AK18" i="11"/>
  <c r="AJ18" i="11"/>
  <c r="AI18" i="11"/>
  <c r="AK17" i="11"/>
  <c r="AJ17" i="11"/>
  <c r="AI17" i="11"/>
  <c r="AK16" i="11"/>
  <c r="AJ16" i="11"/>
  <c r="AI16" i="11"/>
  <c r="AK15" i="11"/>
  <c r="AJ15" i="11"/>
  <c r="AI15" i="11"/>
  <c r="AK14" i="11"/>
  <c r="AJ14" i="11"/>
  <c r="AI14" i="11"/>
  <c r="AK13" i="11"/>
  <c r="AJ13" i="11"/>
  <c r="AI13" i="11"/>
  <c r="AK12" i="11"/>
  <c r="AJ12" i="11"/>
  <c r="AI12" i="11"/>
  <c r="AK11" i="11"/>
  <c r="AJ11" i="11"/>
  <c r="AI11" i="11"/>
  <c r="AK10" i="11"/>
  <c r="AJ10" i="11"/>
  <c r="AI10" i="11"/>
  <c r="AK9" i="11"/>
  <c r="AJ9" i="11"/>
  <c r="AI9" i="11"/>
  <c r="AK8" i="11"/>
  <c r="AJ8" i="11"/>
  <c r="AI8" i="11"/>
  <c r="AK7" i="11"/>
  <c r="AJ7" i="11"/>
  <c r="AI7" i="11"/>
  <c r="AK6" i="11"/>
  <c r="AJ6" i="11"/>
  <c r="AI6" i="11"/>
  <c r="AK5" i="11"/>
  <c r="AJ5" i="11"/>
  <c r="AI5" i="11"/>
  <c r="AK4" i="11"/>
  <c r="AJ4" i="11"/>
  <c r="AI4" i="11"/>
  <c r="AK3" i="11"/>
  <c r="AJ3" i="11"/>
  <c r="AI3" i="11"/>
  <c r="AK2" i="11"/>
  <c r="AJ2" i="11"/>
  <c r="AI2" i="11"/>
  <c r="T28" i="6"/>
  <c r="T27" i="6"/>
  <c r="T26" i="6"/>
  <c r="T25" i="6"/>
  <c r="T24" i="6"/>
  <c r="T23" i="6"/>
  <c r="T22" i="6"/>
  <c r="T21" i="6"/>
  <c r="T20" i="6"/>
  <c r="T19" i="6"/>
  <c r="T18" i="6"/>
  <c r="T17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Q28" i="6"/>
  <c r="Q27" i="6"/>
  <c r="D28" i="6"/>
  <c r="U28" i="6"/>
  <c r="V28" i="6"/>
  <c r="R28" i="6"/>
  <c r="AJ24" i="10"/>
  <c r="AI24" i="10"/>
  <c r="AH24" i="10"/>
  <c r="AK11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J3" i="10"/>
  <c r="AJ2" i="10"/>
  <c r="D13" i="6"/>
  <c r="U27" i="6"/>
  <c r="V27" i="6"/>
  <c r="R27" i="6"/>
  <c r="D27" i="6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I4" i="10"/>
  <c r="AH4" i="10"/>
  <c r="AI3" i="10"/>
  <c r="AH3" i="10"/>
  <c r="AI2" i="10"/>
  <c r="AH2" i="10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J7" i="9"/>
  <c r="AJ6" i="9"/>
  <c r="AJ5" i="9"/>
  <c r="AJ4" i="9"/>
  <c r="AJ3" i="9"/>
  <c r="AJ2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AI10" i="9"/>
  <c r="AI9" i="9"/>
  <c r="AI8" i="9"/>
  <c r="AI7" i="9"/>
  <c r="AI6" i="9"/>
  <c r="AI5" i="9"/>
  <c r="AI4" i="9"/>
  <c r="AI3" i="9"/>
  <c r="AI2" i="9"/>
  <c r="AI25" i="8"/>
  <c r="AH25" i="8"/>
  <c r="Q26" i="6"/>
  <c r="D26" i="6"/>
  <c r="Q13" i="6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I8" i="8"/>
  <c r="AH9" i="8"/>
  <c r="AI9" i="8"/>
  <c r="AH10" i="8"/>
  <c r="AI10" i="8"/>
  <c r="AH11" i="8"/>
  <c r="AI11" i="8"/>
  <c r="AH12" i="8"/>
  <c r="AI12" i="8"/>
  <c r="AH13" i="8"/>
  <c r="AI13" i="8"/>
  <c r="AH14" i="8"/>
  <c r="AI14" i="8"/>
  <c r="AH15" i="8"/>
  <c r="AI15" i="8"/>
  <c r="AH16" i="8"/>
  <c r="AI16" i="8"/>
  <c r="AH17" i="8"/>
  <c r="AI17" i="8"/>
  <c r="AH18" i="8"/>
  <c r="AI18" i="8"/>
  <c r="AH19" i="8"/>
  <c r="AI19" i="8"/>
  <c r="AH20" i="8"/>
  <c r="AI20" i="8"/>
  <c r="AH21" i="8"/>
  <c r="AI21" i="8"/>
  <c r="AH22" i="8"/>
  <c r="AI22" i="8"/>
  <c r="AH23" i="8"/>
  <c r="AI23" i="8"/>
  <c r="AH24" i="8"/>
  <c r="AI24" i="8"/>
  <c r="AK22" i="7"/>
  <c r="AJ16" i="7"/>
  <c r="AI16" i="7"/>
  <c r="AJ13" i="7"/>
  <c r="AI13" i="7"/>
  <c r="AJ25" i="7"/>
  <c r="AI25" i="7"/>
  <c r="AJ24" i="7"/>
  <c r="AI24" i="7"/>
  <c r="AJ23" i="7"/>
  <c r="AI23" i="7"/>
  <c r="AJ22" i="7"/>
  <c r="AI22" i="7"/>
  <c r="AJ21" i="7"/>
  <c r="AI21" i="7"/>
  <c r="AJ20" i="7"/>
  <c r="AI20" i="7"/>
  <c r="AJ19" i="7"/>
  <c r="AI19" i="7"/>
  <c r="AJ18" i="7"/>
  <c r="AI18" i="7"/>
  <c r="AJ17" i="7"/>
  <c r="AI17" i="7"/>
  <c r="AJ15" i="7"/>
  <c r="AI15" i="7"/>
  <c r="AJ14" i="7"/>
  <c r="AI14" i="7"/>
  <c r="AJ12" i="7"/>
  <c r="AI12" i="7"/>
  <c r="AJ11" i="7"/>
  <c r="AI11" i="7"/>
  <c r="AJ10" i="7"/>
  <c r="AI10" i="7"/>
  <c r="AJ9" i="7"/>
  <c r="AI9" i="7"/>
  <c r="AJ8" i="7"/>
  <c r="AI8" i="7"/>
  <c r="AJ7" i="7"/>
  <c r="AI7" i="7"/>
  <c r="AJ6" i="7"/>
  <c r="AI6" i="7"/>
  <c r="AJ5" i="7"/>
  <c r="AI5" i="7"/>
  <c r="AJ4" i="7"/>
  <c r="AI4" i="7"/>
  <c r="AJ3" i="7"/>
  <c r="AI3" i="7"/>
  <c r="AJ2" i="7"/>
  <c r="AI2" i="7"/>
  <c r="D25" i="6"/>
  <c r="Q25" i="6"/>
  <c r="AJ30" i="5"/>
  <c r="AI30" i="5"/>
  <c r="Q24" i="6"/>
  <c r="Q23" i="6"/>
  <c r="Q22" i="6"/>
  <c r="Q21" i="6"/>
  <c r="Q20" i="6"/>
  <c r="Q19" i="6"/>
  <c r="Q18" i="6"/>
  <c r="Q17" i="6"/>
  <c r="Q16" i="6"/>
  <c r="Q15" i="6"/>
  <c r="Q14" i="6"/>
  <c r="Q12" i="6"/>
  <c r="Q11" i="6"/>
  <c r="Q10" i="6"/>
  <c r="Q9" i="6"/>
  <c r="Q8" i="6"/>
  <c r="Q7" i="6"/>
  <c r="Q6" i="6"/>
  <c r="Q5" i="6"/>
  <c r="Q4" i="6"/>
  <c r="Q3" i="6"/>
  <c r="Q2" i="6"/>
  <c r="AH25" i="4"/>
  <c r="AI25" i="4" s="1"/>
  <c r="AI20" i="3"/>
  <c r="AJ20" i="3" s="1"/>
  <c r="R24" i="6"/>
  <c r="R16" i="6"/>
  <c r="R15" i="6"/>
  <c r="R14" i="6"/>
  <c r="R6" i="6"/>
  <c r="R5" i="6"/>
  <c r="R7" i="6"/>
  <c r="R4" i="6"/>
  <c r="R3" i="6"/>
  <c r="R2" i="6"/>
  <c r="D23" i="6"/>
  <c r="R23" i="6" s="1"/>
  <c r="D22" i="6"/>
  <c r="R22" i="6" s="1"/>
  <c r="D21" i="6"/>
  <c r="R21" i="6" s="1"/>
  <c r="D20" i="6"/>
  <c r="R20" i="6" s="1"/>
  <c r="D19" i="6"/>
  <c r="R19" i="6" s="1"/>
  <c r="D18" i="6"/>
  <c r="R18" i="6" s="1"/>
  <c r="D17" i="6"/>
  <c r="R17" i="6" s="1"/>
  <c r="D12" i="6"/>
  <c r="R12" i="6" s="1"/>
  <c r="D11" i="6"/>
  <c r="R11" i="6" s="1"/>
  <c r="D10" i="6"/>
  <c r="R10" i="6" s="1"/>
  <c r="D9" i="6"/>
  <c r="R9" i="6" s="1"/>
  <c r="D8" i="6"/>
  <c r="R8" i="6" s="1"/>
  <c r="AJ29" i="5"/>
  <c r="AI29" i="5"/>
  <c r="AJ28" i="5"/>
  <c r="AI28" i="5"/>
  <c r="AJ27" i="5"/>
  <c r="AI27" i="5"/>
  <c r="AJ26" i="5"/>
  <c r="AI26" i="5"/>
  <c r="AJ25" i="5"/>
  <c r="AI25" i="5"/>
  <c r="AJ24" i="5"/>
  <c r="AI24" i="5"/>
  <c r="AJ23" i="5"/>
  <c r="AI23" i="5"/>
  <c r="AJ22" i="5"/>
  <c r="AI22" i="5"/>
  <c r="AJ21" i="5"/>
  <c r="AI21" i="5"/>
  <c r="AJ20" i="5"/>
  <c r="AI20" i="5"/>
  <c r="AJ19" i="5"/>
  <c r="AI19" i="5"/>
  <c r="AJ18" i="5"/>
  <c r="AI18" i="5"/>
  <c r="AJ17" i="5"/>
  <c r="AI17" i="5"/>
  <c r="AJ16" i="5"/>
  <c r="AI16" i="5"/>
  <c r="AJ15" i="5"/>
  <c r="AI15" i="5"/>
  <c r="AJ14" i="5"/>
  <c r="AI14" i="5"/>
  <c r="AJ13" i="5"/>
  <c r="AI13" i="5"/>
  <c r="AJ12" i="5"/>
  <c r="AI12" i="5"/>
  <c r="AJ11" i="5"/>
  <c r="AI11" i="5"/>
  <c r="AJ10" i="5"/>
  <c r="AI10" i="5"/>
  <c r="AJ9" i="5"/>
  <c r="AI9" i="5"/>
  <c r="AJ8" i="5"/>
  <c r="AI8" i="5"/>
  <c r="AJ7" i="5"/>
  <c r="AI7" i="5"/>
  <c r="AJ6" i="5"/>
  <c r="AI6" i="5"/>
  <c r="AJ5" i="5"/>
  <c r="AI5" i="5"/>
  <c r="AJ4" i="5"/>
  <c r="AI4" i="5"/>
  <c r="AJ3" i="5"/>
  <c r="AI3" i="5"/>
  <c r="AJ2" i="5"/>
  <c r="AI2" i="5"/>
  <c r="AH18" i="4"/>
  <c r="AI18" i="4" s="1"/>
  <c r="AH17" i="4"/>
  <c r="AI17" i="4" s="1"/>
  <c r="AH16" i="4"/>
  <c r="AI16" i="4" s="1"/>
  <c r="AH31" i="4"/>
  <c r="AI31" i="4" s="1"/>
  <c r="AH30" i="4"/>
  <c r="AI30" i="4" s="1"/>
  <c r="AH29" i="4"/>
  <c r="AI29" i="4" s="1"/>
  <c r="AH28" i="4"/>
  <c r="AI28" i="4" s="1"/>
  <c r="AH27" i="4"/>
  <c r="AI27" i="4" s="1"/>
  <c r="AH26" i="4"/>
  <c r="AI26" i="4" s="1"/>
  <c r="AH24" i="4"/>
  <c r="AI24" i="4" s="1"/>
  <c r="AH23" i="4"/>
  <c r="AI23" i="4" s="1"/>
  <c r="AH22" i="4"/>
  <c r="AI22" i="4" s="1"/>
  <c r="AH21" i="4"/>
  <c r="AI21" i="4" s="1"/>
  <c r="AH20" i="4"/>
  <c r="AI20" i="4" s="1"/>
  <c r="AH19" i="4"/>
  <c r="AI19" i="4" s="1"/>
  <c r="AH15" i="4"/>
  <c r="AI15" i="4" s="1"/>
  <c r="AH14" i="4"/>
  <c r="AI14" i="4" s="1"/>
  <c r="AH13" i="4"/>
  <c r="AI13" i="4" s="1"/>
  <c r="AH12" i="4"/>
  <c r="AI12" i="4" s="1"/>
  <c r="AH11" i="4"/>
  <c r="AI11" i="4" s="1"/>
  <c r="AH10" i="4"/>
  <c r="AI10" i="4" s="1"/>
  <c r="AH9" i="4"/>
  <c r="AI9" i="4" s="1"/>
  <c r="AH8" i="4"/>
  <c r="AI8" i="4" s="1"/>
  <c r="AH7" i="4"/>
  <c r="AI7" i="4" s="1"/>
  <c r="AH6" i="4"/>
  <c r="AI6" i="4" s="1"/>
  <c r="AH5" i="4"/>
  <c r="AI5" i="4" s="1"/>
  <c r="AH4" i="4"/>
  <c r="AI4" i="4" s="1"/>
  <c r="AH3" i="4"/>
  <c r="AI3" i="4" s="1"/>
  <c r="AH2" i="4"/>
  <c r="AI2" i="4" s="1"/>
  <c r="AJ2" i="3"/>
  <c r="AI2" i="3"/>
  <c r="AI23" i="3"/>
  <c r="AJ23" i="3" s="1"/>
  <c r="AI22" i="3"/>
  <c r="AJ22" i="3" s="1"/>
  <c r="AI21" i="3"/>
  <c r="AJ21" i="3" s="1"/>
  <c r="AI19" i="3"/>
  <c r="AJ19" i="3" s="1"/>
  <c r="AI18" i="3"/>
  <c r="AJ18" i="3" s="1"/>
  <c r="AI17" i="3"/>
  <c r="AJ17" i="3" s="1"/>
  <c r="AI16" i="3"/>
  <c r="AJ16" i="3" s="1"/>
  <c r="AI15" i="3"/>
  <c r="AJ15" i="3" s="1"/>
  <c r="AI14" i="3"/>
  <c r="AJ14" i="3" s="1"/>
  <c r="AI13" i="3"/>
  <c r="AJ13" i="3" s="1"/>
  <c r="AI12" i="3"/>
  <c r="AJ12" i="3" s="1"/>
  <c r="AI11" i="3"/>
  <c r="AJ11" i="3" s="1"/>
  <c r="AI10" i="3"/>
  <c r="AJ10" i="3" s="1"/>
  <c r="AI9" i="3"/>
  <c r="AJ9" i="3" s="1"/>
  <c r="AI8" i="3"/>
  <c r="AJ8" i="3" s="1"/>
  <c r="AI7" i="3"/>
  <c r="AJ7" i="3" s="1"/>
  <c r="AI6" i="3"/>
  <c r="AJ6" i="3" s="1"/>
  <c r="AI5" i="3"/>
  <c r="AJ5" i="3" s="1"/>
  <c r="AI4" i="3"/>
  <c r="AJ4" i="3" s="1"/>
  <c r="AI3" i="3"/>
  <c r="AJ3" i="3" s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AH23" i="2"/>
  <c r="AI23" i="2" s="1"/>
  <c r="AH22" i="2"/>
  <c r="AI22" i="2" s="1"/>
  <c r="AH21" i="2"/>
  <c r="AI21" i="2" s="1"/>
  <c r="AH20" i="2"/>
  <c r="AI20" i="2" s="1"/>
  <c r="AH19" i="2"/>
  <c r="AI19" i="2" s="1"/>
  <c r="AH18" i="2"/>
  <c r="AI18" i="2" s="1"/>
  <c r="AH17" i="2"/>
  <c r="AI17" i="2" s="1"/>
  <c r="AH16" i="2"/>
  <c r="AI16" i="2" s="1"/>
  <c r="AH15" i="2"/>
  <c r="AI15" i="2" s="1"/>
  <c r="AH14" i="2"/>
  <c r="AI14" i="2" s="1"/>
  <c r="AH13" i="2"/>
  <c r="AI13" i="2" s="1"/>
  <c r="AH12" i="2"/>
  <c r="AI12" i="2" s="1"/>
  <c r="AH11" i="2"/>
  <c r="AI11" i="2" s="1"/>
  <c r="AH10" i="2"/>
  <c r="AI10" i="2" s="1"/>
  <c r="AH9" i="2"/>
  <c r="AI9" i="2" s="1"/>
  <c r="AH8" i="2"/>
  <c r="AI8" i="2" s="1"/>
  <c r="AH7" i="2"/>
  <c r="AI7" i="2" s="1"/>
  <c r="AH6" i="2"/>
  <c r="AI6" i="2" s="1"/>
  <c r="AH5" i="2"/>
  <c r="AI5" i="2" s="1"/>
  <c r="AH4" i="2"/>
  <c r="AI4" i="2" s="1"/>
  <c r="AH3" i="2"/>
  <c r="AI3" i="2" s="1"/>
  <c r="AH2" i="2"/>
  <c r="AI2" i="2" s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6" i="1"/>
  <c r="AJ5" i="1"/>
  <c r="AJ4" i="1"/>
  <c r="AJ3" i="1"/>
  <c r="AJ2" i="1"/>
  <c r="AJ7" i="1"/>
  <c r="U26" i="6" l="1"/>
  <c r="R26" i="6"/>
  <c r="V26" i="6"/>
  <c r="U13" i="6"/>
  <c r="R13" i="6"/>
  <c r="V13" i="6"/>
  <c r="V4" i="6"/>
  <c r="U4" i="6"/>
  <c r="V5" i="6"/>
  <c r="U5" i="6"/>
  <c r="V7" i="6"/>
  <c r="U7" i="6"/>
  <c r="V10" i="6"/>
  <c r="U10" i="6"/>
  <c r="V15" i="6"/>
  <c r="U15" i="6"/>
  <c r="V16" i="6"/>
  <c r="U16" i="6"/>
  <c r="V17" i="6"/>
  <c r="U17" i="6"/>
  <c r="V20" i="6"/>
  <c r="U20" i="6"/>
  <c r="U24" i="6"/>
  <c r="V24" i="6"/>
  <c r="V3" i="6"/>
  <c r="U3" i="6"/>
  <c r="V18" i="6"/>
  <c r="U18" i="6"/>
  <c r="V12" i="6"/>
  <c r="U12" i="6"/>
  <c r="R25" i="6"/>
  <c r="U25" i="6"/>
  <c r="V25" i="6"/>
  <c r="U23" i="6"/>
  <c r="V23" i="6"/>
  <c r="U22" i="6"/>
  <c r="V22" i="6"/>
  <c r="U21" i="6"/>
  <c r="V21" i="6"/>
  <c r="V19" i="6"/>
  <c r="U19" i="6"/>
  <c r="V14" i="6"/>
  <c r="U14" i="6"/>
  <c r="V11" i="6"/>
  <c r="U11" i="6"/>
  <c r="V9" i="6"/>
  <c r="U9" i="6"/>
  <c r="V8" i="6"/>
  <c r="U8" i="6"/>
  <c r="V6" i="6"/>
  <c r="U6" i="6"/>
  <c r="V2" i="6"/>
  <c r="U2" i="6"/>
</calcChain>
</file>

<file path=xl/sharedStrings.xml><?xml version="1.0" encoding="utf-8"?>
<sst xmlns="http://schemas.openxmlformats.org/spreadsheetml/2006/main" count="1348" uniqueCount="129">
  <si>
    <t>Emp ID</t>
  </si>
  <si>
    <t>Name</t>
  </si>
  <si>
    <t>Date of Joining</t>
  </si>
  <si>
    <t>Eligible Leaves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</si>
  <si>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</si>
  <si>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</si>
  <si>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</si>
  <si>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</si>
  <si>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</si>
  <si>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</si>
  <si>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</si>
  <si>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</si>
  <si>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</si>
  <si>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</si>
  <si>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</si>
  <si>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</si>
  <si>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Utilized leave</t>
  </si>
  <si>
    <t>Available Leaves</t>
  </si>
  <si>
    <t>Granted Leaves</t>
  </si>
  <si>
    <t>Utilized Leaves</t>
  </si>
  <si>
    <t>LOP</t>
  </si>
  <si>
    <t>8EIN003</t>
  </si>
  <si>
    <t>Gopishetty Balakishore</t>
  </si>
  <si>
    <t>01st Feb'23</t>
  </si>
  <si>
    <t>8EIN004</t>
  </si>
  <si>
    <t>Thupakula Saikumar</t>
  </si>
  <si>
    <t>13th Mar'23</t>
  </si>
  <si>
    <t>8EIN029</t>
  </si>
  <si>
    <t>Prudvi Kumar Reddy.Kovvuri</t>
  </si>
  <si>
    <t>22nd May'24</t>
  </si>
  <si>
    <t>8EIN032</t>
  </si>
  <si>
    <t>Naga Malleswara Rao</t>
  </si>
  <si>
    <t>8EIN034</t>
  </si>
  <si>
    <t>Ramesh Paspunuti</t>
  </si>
  <si>
    <t>05th Jun'24</t>
  </si>
  <si>
    <t>8EIN035</t>
  </si>
  <si>
    <t>Y.V.S.Aakash</t>
  </si>
  <si>
    <t>10th Jun'24</t>
  </si>
  <si>
    <t>8EIN040</t>
  </si>
  <si>
    <t>Avinash.K</t>
  </si>
  <si>
    <t>01st Mar'25</t>
  </si>
  <si>
    <t>8EIN041</t>
  </si>
  <si>
    <t>M. Sai Tejasree</t>
  </si>
  <si>
    <t>10th Mar'25</t>
  </si>
  <si>
    <t>8EIN043</t>
  </si>
  <si>
    <t>Mayank Thapliyal</t>
  </si>
  <si>
    <t>01st May'25</t>
  </si>
  <si>
    <t>8EIN044</t>
  </si>
  <si>
    <t>Vittala Sharvan</t>
  </si>
  <si>
    <t>02nd June'25</t>
  </si>
  <si>
    <t>8EIN045</t>
  </si>
  <si>
    <t>Pemmaraju Sai Leela Manohar</t>
  </si>
  <si>
    <t>19th June'25</t>
  </si>
  <si>
    <t>Sai Kasturi</t>
  </si>
  <si>
    <t>01st Oct'25</t>
  </si>
  <si>
    <t>B.V.Ramachandra Raju</t>
  </si>
  <si>
    <t>Gopal Rao Pandula</t>
  </si>
  <si>
    <t>8EIN046</t>
  </si>
  <si>
    <t>Ankita Awasthi</t>
  </si>
  <si>
    <t>01st July'25</t>
  </si>
  <si>
    <t>Kadali Bhuvana Sai Rajesh</t>
  </si>
  <si>
    <t>01st April 2025</t>
  </si>
  <si>
    <t>Vatsavayi Sriram Varma</t>
  </si>
  <si>
    <t>02nd June 2025</t>
  </si>
  <si>
    <t>Mandaloju Sai Sreenath</t>
  </si>
  <si>
    <t>Pawan Kumar Dandasi</t>
  </si>
  <si>
    <t>Kolli Sai Kumar</t>
  </si>
  <si>
    <t>05th June 2025</t>
  </si>
  <si>
    <t>Thota Mounika</t>
  </si>
  <si>
    <t>Kala Prem Sagar</t>
  </si>
  <si>
    <t>Kamineni Sai Ram</t>
  </si>
  <si>
    <t>19th June 2025</t>
  </si>
  <si>
    <t>Varshitha Vallabhadasu</t>
  </si>
  <si>
    <t>03rd July 2025</t>
  </si>
  <si>
    <t>8EIN047</t>
  </si>
  <si>
    <t>Anupras Jadhav</t>
  </si>
  <si>
    <t>17th Sep 2025</t>
  </si>
  <si>
    <t>Yatharth Solanki</t>
  </si>
  <si>
    <t>03rd Nov 2025</t>
  </si>
  <si>
    <t>Simran Jyot Singh Lall</t>
  </si>
  <si>
    <t>17th Nov 2025</t>
  </si>
  <si>
    <t>Leave</t>
  </si>
  <si>
    <t>WFH</t>
  </si>
  <si>
    <t>8EIN002</t>
  </si>
  <si>
    <t>Harish Kumar Mula</t>
  </si>
  <si>
    <t>27th Nov'22</t>
  </si>
  <si>
    <t>8EIN009</t>
  </si>
  <si>
    <t>P.Mohan Reddy</t>
  </si>
  <si>
    <t>19th Apr'23</t>
  </si>
  <si>
    <t>8EIN012</t>
  </si>
  <si>
    <t>Misbah Sultana</t>
  </si>
  <si>
    <t>12th Jun'23</t>
  </si>
  <si>
    <t>8EIN015</t>
  </si>
  <si>
    <t>Shaik Saidu Babu</t>
  </si>
  <si>
    <t>15th Dec'21</t>
  </si>
  <si>
    <t>8EIN021</t>
  </si>
  <si>
    <t>Y.Bhaskar Ram Sainath</t>
  </si>
  <si>
    <t>01st Nov'23</t>
  </si>
  <si>
    <t>8EIN023</t>
  </si>
  <si>
    <t xml:space="preserve">
Krishna Mohan Sonti</t>
  </si>
  <si>
    <t>11th Jan'24</t>
  </si>
  <si>
    <t>8EIN027</t>
  </si>
  <si>
    <t>Sivasai Reddy Sareddy</t>
  </si>
  <si>
    <t>12th Feb'24</t>
  </si>
  <si>
    <t>8EIN036</t>
  </si>
  <si>
    <t>Sumanth Kumbham</t>
  </si>
  <si>
    <t>3rd July 24</t>
  </si>
  <si>
    <t>8EIN037</t>
  </si>
  <si>
    <t>Mahendra Reddy.Chilakala</t>
  </si>
  <si>
    <t>8EIN038</t>
  </si>
  <si>
    <t>Harika Deeti</t>
  </si>
  <si>
    <t>08th Jul'24</t>
  </si>
  <si>
    <t>8EIN042</t>
  </si>
  <si>
    <t>Srinivas Bogineni</t>
  </si>
  <si>
    <t>Annual Leaves</t>
  </si>
  <si>
    <t>Resigned</t>
  </si>
  <si>
    <t>01st May,25</t>
  </si>
  <si>
    <t>Akhil Gadde</t>
  </si>
  <si>
    <t>01st June 2025</t>
  </si>
  <si>
    <t>Mouryashrith Chede</t>
  </si>
  <si>
    <t>Comments</t>
  </si>
  <si>
    <t>Deducting leave, exceeding WFH</t>
  </si>
  <si>
    <t>6 leaves (2 sanctioned, 4 lop)</t>
  </si>
  <si>
    <t>LOP for entire month</t>
  </si>
  <si>
    <t>NA</t>
  </si>
  <si>
    <t>Deducted 2 leaves</t>
  </si>
  <si>
    <r>
      <rPr>
        <sz val="11"/>
        <color rgb="FFF1A983"/>
        <rFont val="Aptos Narrow"/>
        <scheme val="minor"/>
      </rPr>
      <t>Le</t>
    </r>
    <r>
      <rPr>
        <sz val="11"/>
        <color rgb="FF000000"/>
        <rFont val="Aptos Narrow"/>
        <scheme val="minor"/>
      </rPr>
      <t>Leave</t>
    </r>
  </si>
  <si>
    <t>Marked only 1 leave. adjusting Oct leaves</t>
  </si>
  <si>
    <t>Leave 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</si>
</sst>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242424"/>
      <name val="Segoe UI"/>
      <charset val="1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444444"/>
      <name val="Aptos Narrow"/>
      <scheme val="minor"/>
    </font>
    <font>
      <sz val="11"/>
      <color theme="1"/>
      <name val="Aptos Narrow"/>
      <scheme val="minor"/>
    </font>
    <font>
      <sz val="11"/>
      <color rgb="FF242424"/>
      <name val="Aptos Narrow"/>
      <scheme val="minor"/>
    </font>
    <font>
      <b/>
      <sz val="11"/>
      <color theme="3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rgb="FFF1A983"/>
      <name val="Aptos Narrow"/>
      <scheme val="minor"/>
    </font>
    <font>
      <sz val="11"/>
      <color rgb="FF000000"/>
      <name val="Aptos Narrow"/>
      <scheme val="minor"/>
    </font>
    <font>
      <sz val="11"/>
      <color theme="5" tint="0.39997558519241921"/>
      <name val="Aptos Narrow"/>
      <scheme val="minor"/>
    </font>
    <font>
      <sz val="11"/>
      <color rgb="FFFF0000"/>
      <name val="Calibri"/>
    </font>
    <font>
      <sz val="11"/>
      <color rgb="FFFF0000"/>
      <name val="Aptos Narrow"/>
      <family val="2"/>
      <scheme val="minor"/>
    </font>
    <font>
      <b/>
      <sz val="11"/>
      <color theme="3"/>
      <name val="Calibri"/>
    </font>
    <font>
      <sz val="11"/>
      <color rgb="FF444444"/>
      <name val="Calibri"/>
    </font>
    <font>
      <sz val="11"/>
      <color rgb="FF242424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2" xfId="0" applyFont="1" applyBorder="1"/>
    <xf numFmtId="0" fontId="0" fillId="0" borderId="1" xfId="0" applyBorder="1"/>
    <xf numFmtId="0" fontId="7" fillId="0" borderId="1" xfId="0" applyFont="1" applyBorder="1"/>
    <xf numFmtId="0" fontId="1" fillId="2" borderId="2" xfId="0" applyFont="1" applyFill="1" applyBorder="1"/>
    <xf numFmtId="0" fontId="5" fillId="0" borderId="2" xfId="0" applyFont="1" applyBorder="1"/>
    <xf numFmtId="0" fontId="5" fillId="0" borderId="4" xfId="0" applyFont="1" applyBorder="1"/>
    <xf numFmtId="0" fontId="6" fillId="0" borderId="3" xfId="0" applyFont="1" applyBorder="1"/>
    <xf numFmtId="0" fontId="5" fillId="0" borderId="3" xfId="0" applyFont="1" applyBorder="1"/>
    <xf numFmtId="0" fontId="8" fillId="0" borderId="1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2" xfId="0" applyBorder="1"/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16" fontId="9" fillId="0" borderId="7" xfId="0" applyNumberFormat="1" applyFont="1" applyBorder="1" applyAlignment="1">
      <alignment horizontal="center"/>
    </xf>
    <xf numFmtId="16" fontId="8" fillId="0" borderId="7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3" borderId="1" xfId="0" applyFill="1" applyBorder="1"/>
    <xf numFmtId="0" fontId="2" fillId="0" borderId="3" xfId="0" applyFont="1" applyBorder="1" applyAlignment="1">
      <alignment horizontal="left"/>
    </xf>
    <xf numFmtId="0" fontId="0" fillId="0" borderId="7" xfId="0" applyBorder="1"/>
    <xf numFmtId="0" fontId="0" fillId="0" borderId="3" xfId="0" applyBorder="1"/>
    <xf numFmtId="0" fontId="8" fillId="0" borderId="8" xfId="0" applyFont="1" applyBorder="1"/>
    <xf numFmtId="0" fontId="8" fillId="4" borderId="3" xfId="0" applyFont="1" applyFill="1" applyBorder="1"/>
    <xf numFmtId="0" fontId="8" fillId="4" borderId="1" xfId="0" applyFont="1" applyFill="1" applyBorder="1"/>
    <xf numFmtId="0" fontId="0" fillId="4" borderId="2" xfId="0" applyFill="1" applyBorder="1"/>
    <xf numFmtId="0" fontId="0" fillId="4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left"/>
    </xf>
    <xf numFmtId="0" fontId="0" fillId="2" borderId="7" xfId="0" applyFill="1" applyBorder="1"/>
    <xf numFmtId="0" fontId="0" fillId="2" borderId="3" xfId="0" applyFill="1" applyBorder="1"/>
    <xf numFmtId="16" fontId="9" fillId="0" borderId="3" xfId="0" applyNumberFormat="1" applyFont="1" applyBorder="1" applyAlignment="1">
      <alignment horizontal="center"/>
    </xf>
    <xf numFmtId="0" fontId="2" fillId="0" borderId="1" xfId="0" applyFont="1" applyBorder="1"/>
    <xf numFmtId="0" fontId="0" fillId="4" borderId="3" xfId="0" applyFill="1" applyBorder="1"/>
    <xf numFmtId="0" fontId="0" fillId="4" borderId="7" xfId="0" applyFill="1" applyBorder="1"/>
    <xf numFmtId="0" fontId="0" fillId="5" borderId="7" xfId="0" applyFill="1" applyBorder="1"/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8" fillId="0" borderId="2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8" fillId="6" borderId="2" xfId="0" applyFont="1" applyFill="1" applyBorder="1"/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0" xfId="0" applyFill="1"/>
    <xf numFmtId="0" fontId="10" fillId="0" borderId="2" xfId="0" applyFont="1" applyBorder="1"/>
    <xf numFmtId="0" fontId="11" fillId="0" borderId="1" xfId="0" applyFont="1" applyBorder="1" applyAlignment="1">
      <alignment horizontal="left"/>
    </xf>
    <xf numFmtId="0" fontId="12" fillId="0" borderId="2" xfId="0" applyFont="1" applyBorder="1"/>
    <xf numFmtId="0" fontId="12" fillId="0" borderId="4" xfId="0" applyFont="1" applyBorder="1"/>
    <xf numFmtId="0" fontId="12" fillId="0" borderId="3" xfId="0" applyFont="1" applyBorder="1"/>
    <xf numFmtId="0" fontId="11" fillId="0" borderId="7" xfId="0" applyFont="1" applyBorder="1"/>
    <xf numFmtId="0" fontId="11" fillId="0" borderId="1" xfId="0" applyFont="1" applyBorder="1"/>
    <xf numFmtId="0" fontId="11" fillId="0" borderId="7" xfId="0" applyFont="1" applyBorder="1" applyAlignment="1">
      <alignment horizontal="left"/>
    </xf>
    <xf numFmtId="0" fontId="0" fillId="2" borderId="0" xfId="0" applyFill="1"/>
    <xf numFmtId="0" fontId="0" fillId="0" borderId="6" xfId="0" applyBorder="1"/>
    <xf numFmtId="0" fontId="13" fillId="0" borderId="1" xfId="0" applyFont="1" applyBorder="1"/>
    <xf numFmtId="16" fontId="13" fillId="0" borderId="7" xfId="0" applyNumberFormat="1" applyFont="1" applyBorder="1" applyAlignment="1">
      <alignment horizontal="center"/>
    </xf>
    <xf numFmtId="0" fontId="13" fillId="4" borderId="3" xfId="0" applyFont="1" applyFill="1" applyBorder="1"/>
    <xf numFmtId="0" fontId="13" fillId="4" borderId="1" xfId="0" applyFont="1" applyFill="1" applyBorder="1"/>
    <xf numFmtId="0" fontId="13" fillId="0" borderId="8" xfId="0" applyFont="1" applyBorder="1"/>
    <xf numFmtId="0" fontId="14" fillId="7" borderId="1" xfId="0" applyFont="1" applyFill="1" applyBorder="1"/>
    <xf numFmtId="0" fontId="17" fillId="7" borderId="7" xfId="0" applyFont="1" applyFill="1" applyBorder="1"/>
    <xf numFmtId="0" fontId="14" fillId="7" borderId="7" xfId="0" applyFont="1" applyFill="1" applyBorder="1"/>
    <xf numFmtId="0" fontId="0" fillId="2" borderId="9" xfId="0" applyFill="1" applyBorder="1"/>
    <xf numFmtId="0" fontId="0" fillId="2" borderId="11" xfId="0" applyFill="1" applyBorder="1"/>
    <xf numFmtId="0" fontId="0" fillId="4" borderId="8" xfId="0" applyFill="1" applyBorder="1"/>
    <xf numFmtId="16" fontId="13" fillId="0" borderId="3" xfId="0" applyNumberFormat="1" applyFont="1" applyBorder="1" applyAlignment="1">
      <alignment horizontal="center"/>
    </xf>
    <xf numFmtId="0" fontId="13" fillId="4" borderId="8" xfId="0" applyFont="1" applyFill="1" applyBorder="1"/>
    <xf numFmtId="16" fontId="13" fillId="3" borderId="7" xfId="0" applyNumberFormat="1" applyFont="1" applyFill="1" applyBorder="1" applyAlignment="1">
      <alignment horizontal="center"/>
    </xf>
    <xf numFmtId="16" fontId="13" fillId="9" borderId="7" xfId="0" applyNumberFormat="1" applyFont="1" applyFill="1" applyBorder="1" applyAlignment="1">
      <alignment horizontal="center"/>
    </xf>
    <xf numFmtId="0" fontId="0" fillId="9" borderId="1" xfId="0" applyFill="1" applyBorder="1"/>
    <xf numFmtId="0" fontId="0" fillId="9" borderId="7" xfId="0" applyFill="1" applyBorder="1"/>
    <xf numFmtId="0" fontId="18" fillId="0" borderId="1" xfId="0" applyFont="1" applyBorder="1" applyAlignment="1">
      <alignment horizontal="left"/>
    </xf>
    <xf numFmtId="0" fontId="19" fillId="0" borderId="1" xfId="0" applyFont="1" applyBorder="1"/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6" borderId="2" xfId="0" applyFont="1" applyFill="1" applyBorder="1" applyAlignment="1">
      <alignment horizontal="left"/>
    </xf>
    <xf numFmtId="0" fontId="19" fillId="0" borderId="1" xfId="0" applyFont="1" applyBorder="1" applyAlignment="1">
      <alignment horizontal="right"/>
    </xf>
    <xf numFmtId="0" fontId="19" fillId="0" borderId="0" xfId="0" applyFont="1"/>
    <xf numFmtId="16" fontId="13" fillId="2" borderId="7" xfId="0" applyNumberFormat="1" applyFont="1" applyFill="1" applyBorder="1" applyAlignment="1">
      <alignment horizontal="center"/>
    </xf>
    <xf numFmtId="16" fontId="13" fillId="10" borderId="7" xfId="0" applyNumberFormat="1" applyFont="1" applyFill="1" applyBorder="1" applyAlignment="1">
      <alignment horizontal="center"/>
    </xf>
    <xf numFmtId="0" fontId="0" fillId="10" borderId="1" xfId="0" applyFill="1" applyBorder="1"/>
    <xf numFmtId="0" fontId="0" fillId="10" borderId="8" xfId="0" applyFill="1" applyBorder="1"/>
    <xf numFmtId="0" fontId="0" fillId="0" borderId="10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8" fillId="4" borderId="8" xfId="0" applyFont="1" applyFill="1" applyBorder="1"/>
    <xf numFmtId="0" fontId="13" fillId="4" borderId="2" xfId="0" applyFont="1" applyFill="1" applyBorder="1"/>
    <xf numFmtId="0" fontId="0" fillId="0" borderId="8" xfId="0" applyBorder="1" applyAlignment="1">
      <alignment horizontal="left"/>
    </xf>
    <xf numFmtId="0" fontId="20" fillId="0" borderId="1" xfId="0" applyFont="1" applyBorder="1"/>
    <xf numFmtId="16" fontId="20" fillId="2" borderId="7" xfId="0" applyNumberFormat="1" applyFont="1" applyFill="1" applyBorder="1" applyAlignment="1">
      <alignment horizontal="center"/>
    </xf>
    <xf numFmtId="16" fontId="20" fillId="10" borderId="7" xfId="0" applyNumberFormat="1" applyFont="1" applyFill="1" applyBorder="1" applyAlignment="1">
      <alignment horizontal="center"/>
    </xf>
    <xf numFmtId="16" fontId="20" fillId="2" borderId="3" xfId="0" applyNumberFormat="1" applyFont="1" applyFill="1" applyBorder="1" applyAlignment="1">
      <alignment horizontal="center"/>
    </xf>
    <xf numFmtId="0" fontId="20" fillId="4" borderId="2" xfId="0" applyFont="1" applyFill="1" applyBorder="1"/>
    <xf numFmtId="0" fontId="20" fillId="4" borderId="1" xfId="0" applyFont="1" applyFill="1" applyBorder="1"/>
    <xf numFmtId="0" fontId="20" fillId="0" borderId="8" xfId="0" applyFont="1" applyBorder="1"/>
    <xf numFmtId="0" fontId="21" fillId="0" borderId="2" xfId="0" applyFont="1" applyBorder="1"/>
    <xf numFmtId="0" fontId="2" fillId="0" borderId="2" xfId="0" applyFont="1" applyBorder="1"/>
    <xf numFmtId="0" fontId="2" fillId="2" borderId="1" xfId="0" applyFont="1" applyFill="1" applyBorder="1"/>
    <xf numFmtId="0" fontId="2" fillId="10" borderId="1" xfId="0" applyFont="1" applyFill="1" applyBorder="1"/>
    <xf numFmtId="0" fontId="2" fillId="2" borderId="2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2" fillId="0" borderId="0" xfId="0" applyFont="1"/>
    <xf numFmtId="0" fontId="22" fillId="0" borderId="2" xfId="0" applyFont="1" applyBorder="1"/>
    <xf numFmtId="0" fontId="22" fillId="0" borderId="4" xfId="0" applyFont="1" applyBorder="1"/>
    <xf numFmtId="0" fontId="22" fillId="0" borderId="3" xfId="0" applyFont="1" applyBorder="1"/>
    <xf numFmtId="0" fontId="2" fillId="0" borderId="7" xfId="0" applyFont="1" applyBorder="1"/>
    <xf numFmtId="0" fontId="2" fillId="0" borderId="3" xfId="0" applyFont="1" applyBorder="1"/>
    <xf numFmtId="0" fontId="2" fillId="2" borderId="8" xfId="0" applyFont="1" applyFill="1" applyBorder="1"/>
    <xf numFmtId="16" fontId="20" fillId="9" borderId="7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8" fillId="3" borderId="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43A5-4B4D-48CD-8D74-1613157AE768}">
  <dimension ref="A1:W28"/>
  <sheetViews>
    <sheetView tabSelected="1" topLeftCell="D1" workbookViewId="0">
      <selection activeCell="U32" sqref="U32"/>
    </sheetView>
  </sheetViews>
  <sheetFormatPr defaultRowHeight="15"/>
  <cols>
    <col min="1" max="1" width="8.140625" bestFit="1" customWidth="1"/>
    <col min="2" max="2" width="27.42578125" bestFit="1" customWidth="1"/>
    <col min="3" max="3" width="15.7109375" customWidth="1"/>
    <col min="4" max="4" width="14" customWidth="1"/>
    <col min="5" max="16" width="9.140625" customWidth="1"/>
    <col min="17" max="17" width="12.28515625" customWidth="1"/>
    <col min="18" max="18" width="15" customWidth="1"/>
    <col min="19" max="19" width="15" style="59" customWidth="1"/>
    <col min="20" max="20" width="14.5703125" customWidth="1"/>
    <col min="21" max="21" width="14.140625" customWidth="1"/>
    <col min="22" max="22" width="15.5703125" bestFit="1" customWidth="1"/>
    <col min="23" max="23" width="15.5703125" customWidth="1"/>
  </cols>
  <sheetData>
    <row r="1" spans="1:2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50" t="s">
        <v>15</v>
      </c>
      <c r="Q1" s="15" t="s">
        <v>16</v>
      </c>
      <c r="R1" s="50" t="s">
        <v>17</v>
      </c>
      <c r="S1" s="56"/>
      <c r="T1" s="15" t="s">
        <v>18</v>
      </c>
      <c r="U1" s="15" t="s">
        <v>19</v>
      </c>
      <c r="V1" s="15" t="s">
        <v>17</v>
      </c>
      <c r="W1" s="15" t="s">
        <v>20</v>
      </c>
    </row>
    <row r="2" spans="1:23">
      <c r="A2" s="48" t="s">
        <v>21</v>
      </c>
      <c r="B2" s="1" t="s">
        <v>22</v>
      </c>
      <c r="C2" s="8" t="s">
        <v>23</v>
      </c>
      <c r="D2" s="18">
        <v>18</v>
      </c>
      <c r="E2" s="18">
        <v>1</v>
      </c>
      <c r="F2" s="18">
        <v>1</v>
      </c>
      <c r="G2" s="18"/>
      <c r="H2" s="18">
        <v>1</v>
      </c>
      <c r="I2" s="18"/>
      <c r="J2" s="18">
        <v>1</v>
      </c>
      <c r="K2" s="18"/>
      <c r="L2" s="18">
        <v>3</v>
      </c>
      <c r="M2" s="18"/>
      <c r="N2" s="18">
        <v>2</v>
      </c>
      <c r="O2" s="18">
        <v>2</v>
      </c>
      <c r="P2" s="25">
        <v>4</v>
      </c>
      <c r="Q2" s="18">
        <f>SUM(E2:P2)</f>
        <v>15</v>
      </c>
      <c r="R2" s="25">
        <f>D2-Q2</f>
        <v>3</v>
      </c>
      <c r="S2" s="57"/>
      <c r="T2" s="8">
        <f>1.5*12</f>
        <v>18</v>
      </c>
      <c r="U2" s="8">
        <f t="shared" ref="U2:U19" si="0">Q2</f>
        <v>15</v>
      </c>
      <c r="V2" s="8">
        <f t="shared" ref="V2:V20" si="1">T2-Q2</f>
        <v>3</v>
      </c>
      <c r="W2" s="8"/>
    </row>
    <row r="3" spans="1:23" ht="15.75">
      <c r="A3" s="48" t="s">
        <v>24</v>
      </c>
      <c r="B3" s="2" t="s">
        <v>25</v>
      </c>
      <c r="C3" s="8" t="s">
        <v>26</v>
      </c>
      <c r="D3" s="18">
        <v>18</v>
      </c>
      <c r="E3" s="18">
        <v>1</v>
      </c>
      <c r="F3" s="18">
        <v>1</v>
      </c>
      <c r="G3" s="18"/>
      <c r="H3" s="18"/>
      <c r="I3" s="18"/>
      <c r="J3" s="18"/>
      <c r="K3" s="18">
        <v>3</v>
      </c>
      <c r="L3" s="18"/>
      <c r="M3" s="18">
        <v>2</v>
      </c>
      <c r="N3" s="18">
        <v>1</v>
      </c>
      <c r="O3" s="18">
        <v>1</v>
      </c>
      <c r="P3" s="25">
        <v>2</v>
      </c>
      <c r="Q3" s="18">
        <f t="shared" ref="Q3:Q24" si="2">SUM(E3:P3)</f>
        <v>11</v>
      </c>
      <c r="R3" s="25">
        <f t="shared" ref="R3:R24" si="3">D3-Q3</f>
        <v>7</v>
      </c>
      <c r="S3" s="57"/>
      <c r="T3" s="8">
        <f>1.5*12</f>
        <v>18</v>
      </c>
      <c r="U3" s="8">
        <f t="shared" si="0"/>
        <v>11</v>
      </c>
      <c r="V3" s="8">
        <f t="shared" si="1"/>
        <v>7</v>
      </c>
      <c r="W3" s="8"/>
    </row>
    <row r="4" spans="1:23">
      <c r="A4" s="48" t="s">
        <v>27</v>
      </c>
      <c r="B4" s="1" t="s">
        <v>28</v>
      </c>
      <c r="C4" s="1" t="s">
        <v>29</v>
      </c>
      <c r="D4" s="18">
        <v>18</v>
      </c>
      <c r="E4" s="18">
        <v>1</v>
      </c>
      <c r="F4" s="18">
        <v>1</v>
      </c>
      <c r="G4" s="18"/>
      <c r="H4" s="18"/>
      <c r="I4" s="18"/>
      <c r="J4" s="18">
        <v>2</v>
      </c>
      <c r="K4" s="18"/>
      <c r="L4" s="18"/>
      <c r="M4" s="18"/>
      <c r="N4" s="18"/>
      <c r="O4" s="18"/>
      <c r="P4" s="25"/>
      <c r="Q4" s="18">
        <f t="shared" si="2"/>
        <v>4</v>
      </c>
      <c r="R4" s="25">
        <f t="shared" si="3"/>
        <v>14</v>
      </c>
      <c r="S4" s="57"/>
      <c r="T4" s="8">
        <f>1.5*12</f>
        <v>18</v>
      </c>
      <c r="U4" s="8">
        <f t="shared" si="0"/>
        <v>4</v>
      </c>
      <c r="V4" s="8">
        <f t="shared" si="1"/>
        <v>14</v>
      </c>
      <c r="W4" s="8"/>
    </row>
    <row r="5" spans="1:23">
      <c r="A5" s="48" t="s">
        <v>30</v>
      </c>
      <c r="B5" s="1" t="s">
        <v>31</v>
      </c>
      <c r="C5" s="1" t="s">
        <v>29</v>
      </c>
      <c r="D5" s="18">
        <v>18</v>
      </c>
      <c r="E5" s="18">
        <v>1</v>
      </c>
      <c r="F5" s="18">
        <v>1</v>
      </c>
      <c r="G5" s="18"/>
      <c r="H5" s="18"/>
      <c r="I5" s="18"/>
      <c r="J5" s="18">
        <v>1</v>
      </c>
      <c r="K5" s="18"/>
      <c r="L5" s="18"/>
      <c r="M5" s="18"/>
      <c r="N5" s="18"/>
      <c r="O5" s="18">
        <v>1</v>
      </c>
      <c r="P5" s="25"/>
      <c r="Q5" s="18">
        <f t="shared" si="2"/>
        <v>4</v>
      </c>
      <c r="R5" s="25">
        <f t="shared" si="3"/>
        <v>14</v>
      </c>
      <c r="S5" s="57"/>
      <c r="T5" s="8">
        <f>1.5*12</f>
        <v>18</v>
      </c>
      <c r="U5" s="8">
        <f t="shared" si="0"/>
        <v>4</v>
      </c>
      <c r="V5" s="8">
        <f t="shared" si="1"/>
        <v>14</v>
      </c>
      <c r="W5" s="8"/>
    </row>
    <row r="6" spans="1:23">
      <c r="A6" s="49" t="s">
        <v>32</v>
      </c>
      <c r="B6" s="1" t="s">
        <v>33</v>
      </c>
      <c r="C6" s="1" t="s">
        <v>34</v>
      </c>
      <c r="D6" s="18">
        <v>18</v>
      </c>
      <c r="E6" s="18">
        <v>1</v>
      </c>
      <c r="F6" s="18">
        <v>1</v>
      </c>
      <c r="G6" s="18"/>
      <c r="H6" s="18"/>
      <c r="I6" s="18"/>
      <c r="J6" s="18"/>
      <c r="K6" s="18">
        <v>3</v>
      </c>
      <c r="L6" s="18">
        <v>4</v>
      </c>
      <c r="M6" s="18"/>
      <c r="N6" s="18"/>
      <c r="O6" s="18">
        <v>1</v>
      </c>
      <c r="P6" s="25"/>
      <c r="Q6" s="18">
        <f t="shared" si="2"/>
        <v>10</v>
      </c>
      <c r="R6" s="25">
        <f t="shared" si="3"/>
        <v>8</v>
      </c>
      <c r="S6" s="57"/>
      <c r="T6" s="8">
        <f>1.5*12</f>
        <v>18</v>
      </c>
      <c r="U6" s="8">
        <f t="shared" si="0"/>
        <v>10</v>
      </c>
      <c r="V6" s="8">
        <f t="shared" si="1"/>
        <v>8</v>
      </c>
      <c r="W6" s="8"/>
    </row>
    <row r="7" spans="1:23">
      <c r="A7" s="49" t="s">
        <v>35</v>
      </c>
      <c r="B7" s="1" t="s">
        <v>36</v>
      </c>
      <c r="C7" s="1" t="s">
        <v>37</v>
      </c>
      <c r="D7" s="18">
        <v>18</v>
      </c>
      <c r="E7" s="18">
        <v>1</v>
      </c>
      <c r="F7" s="18">
        <v>1</v>
      </c>
      <c r="G7" s="18"/>
      <c r="H7" s="18">
        <v>2</v>
      </c>
      <c r="I7" s="18"/>
      <c r="J7" s="18"/>
      <c r="K7" s="18">
        <v>1</v>
      </c>
      <c r="L7" s="18"/>
      <c r="M7" s="18">
        <v>2</v>
      </c>
      <c r="N7" s="18">
        <v>5</v>
      </c>
      <c r="O7" s="18">
        <v>2</v>
      </c>
      <c r="P7" s="25"/>
      <c r="Q7" s="18">
        <f t="shared" si="2"/>
        <v>14</v>
      </c>
      <c r="R7" s="25">
        <f t="shared" si="3"/>
        <v>4</v>
      </c>
      <c r="S7" s="57"/>
      <c r="T7" s="8">
        <f>1.5*12</f>
        <v>18</v>
      </c>
      <c r="U7" s="8">
        <f t="shared" si="0"/>
        <v>14</v>
      </c>
      <c r="V7" s="8">
        <f t="shared" si="1"/>
        <v>4</v>
      </c>
      <c r="W7" s="8"/>
    </row>
    <row r="8" spans="1:23">
      <c r="A8" s="49" t="s">
        <v>38</v>
      </c>
      <c r="B8" s="1" t="s">
        <v>39</v>
      </c>
      <c r="C8" s="1" t="s">
        <v>40</v>
      </c>
      <c r="D8" s="18">
        <f>1.5*10</f>
        <v>15</v>
      </c>
      <c r="E8" s="18">
        <v>1</v>
      </c>
      <c r="F8" s="18">
        <v>1</v>
      </c>
      <c r="G8" s="18"/>
      <c r="H8" s="18"/>
      <c r="I8" s="18"/>
      <c r="J8" s="18"/>
      <c r="K8" s="18"/>
      <c r="L8" s="18">
        <v>4</v>
      </c>
      <c r="M8" s="18"/>
      <c r="N8" s="18">
        <v>2</v>
      </c>
      <c r="O8" s="18">
        <v>1</v>
      </c>
      <c r="P8" s="25">
        <v>3</v>
      </c>
      <c r="Q8" s="18">
        <f t="shared" si="2"/>
        <v>12</v>
      </c>
      <c r="R8" s="25">
        <f t="shared" si="3"/>
        <v>3</v>
      </c>
      <c r="S8" s="57"/>
      <c r="T8" s="8">
        <f>1.5*12</f>
        <v>18</v>
      </c>
      <c r="U8" s="8">
        <f t="shared" si="0"/>
        <v>12</v>
      </c>
      <c r="V8" s="8">
        <f t="shared" si="1"/>
        <v>6</v>
      </c>
      <c r="W8" s="8"/>
    </row>
    <row r="9" spans="1:23">
      <c r="A9" s="49" t="s">
        <v>41</v>
      </c>
      <c r="B9" s="1" t="s">
        <v>42</v>
      </c>
      <c r="C9" s="1" t="s">
        <v>43</v>
      </c>
      <c r="D9" s="18">
        <f t="shared" ref="D9" si="4">1.5*10</f>
        <v>15</v>
      </c>
      <c r="E9" s="18"/>
      <c r="F9" s="18"/>
      <c r="G9" s="18"/>
      <c r="H9" s="18">
        <v>1</v>
      </c>
      <c r="I9" s="18"/>
      <c r="J9" s="18">
        <v>2</v>
      </c>
      <c r="K9" s="18"/>
      <c r="L9" s="18">
        <v>1</v>
      </c>
      <c r="M9" s="18">
        <v>1</v>
      </c>
      <c r="N9" s="18">
        <v>1</v>
      </c>
      <c r="O9" s="18">
        <v>2</v>
      </c>
      <c r="P9" s="25">
        <v>1</v>
      </c>
      <c r="Q9" s="18">
        <f t="shared" si="2"/>
        <v>9</v>
      </c>
      <c r="R9" s="25">
        <f t="shared" si="3"/>
        <v>6</v>
      </c>
      <c r="S9" s="57"/>
      <c r="T9" s="8">
        <f>1.5*10</f>
        <v>15</v>
      </c>
      <c r="U9" s="8">
        <f t="shared" si="0"/>
        <v>9</v>
      </c>
      <c r="V9" s="8">
        <f t="shared" si="1"/>
        <v>6</v>
      </c>
      <c r="W9" s="8"/>
    </row>
    <row r="10" spans="1:23">
      <c r="A10" s="49" t="s">
        <v>44</v>
      </c>
      <c r="B10" s="1" t="s">
        <v>45</v>
      </c>
      <c r="C10" s="1" t="s">
        <v>46</v>
      </c>
      <c r="D10" s="18">
        <f>1.5*8</f>
        <v>12</v>
      </c>
      <c r="E10" s="18"/>
      <c r="F10" s="18"/>
      <c r="G10" s="18"/>
      <c r="H10" s="18"/>
      <c r="I10" s="18">
        <v>2</v>
      </c>
      <c r="J10" s="18">
        <v>1</v>
      </c>
      <c r="K10" s="18"/>
      <c r="L10" s="18"/>
      <c r="M10" s="18"/>
      <c r="N10" s="18">
        <v>3</v>
      </c>
      <c r="O10" s="18"/>
      <c r="P10" s="25"/>
      <c r="Q10" s="18">
        <f t="shared" si="2"/>
        <v>6</v>
      </c>
      <c r="R10" s="25">
        <f t="shared" si="3"/>
        <v>6</v>
      </c>
      <c r="S10" s="57"/>
      <c r="T10" s="8">
        <f>1.5*8</f>
        <v>12</v>
      </c>
      <c r="U10" s="8">
        <f t="shared" si="0"/>
        <v>6</v>
      </c>
      <c r="V10" s="8">
        <f t="shared" si="1"/>
        <v>6</v>
      </c>
      <c r="W10" s="8"/>
    </row>
    <row r="11" spans="1:23">
      <c r="A11" s="49" t="s">
        <v>47</v>
      </c>
      <c r="B11" s="1" t="s">
        <v>48</v>
      </c>
      <c r="C11" s="1" t="s">
        <v>49</v>
      </c>
      <c r="D11" s="18">
        <f>1.5*7</f>
        <v>10.5</v>
      </c>
      <c r="E11" s="18"/>
      <c r="F11" s="18"/>
      <c r="G11" s="18"/>
      <c r="H11" s="18"/>
      <c r="I11" s="18"/>
      <c r="J11" s="18">
        <v>1</v>
      </c>
      <c r="K11" s="18">
        <v>1</v>
      </c>
      <c r="L11" s="18">
        <v>2</v>
      </c>
      <c r="M11" s="18">
        <v>2</v>
      </c>
      <c r="N11" s="18">
        <v>1.5</v>
      </c>
      <c r="O11" s="18">
        <v>1.5</v>
      </c>
      <c r="P11" s="25">
        <v>1.5</v>
      </c>
      <c r="Q11" s="18">
        <f t="shared" si="2"/>
        <v>10.5</v>
      </c>
      <c r="R11" s="25">
        <f t="shared" si="3"/>
        <v>0</v>
      </c>
      <c r="S11" s="57"/>
      <c r="T11" s="8">
        <f>1.5*7</f>
        <v>10.5</v>
      </c>
      <c r="U11" s="8">
        <f t="shared" si="0"/>
        <v>10.5</v>
      </c>
      <c r="V11" s="8">
        <f t="shared" si="1"/>
        <v>0</v>
      </c>
      <c r="W11" s="8">
        <v>1.5</v>
      </c>
    </row>
    <row r="12" spans="1:23">
      <c r="A12" s="1" t="s">
        <v>50</v>
      </c>
      <c r="B12" s="1" t="s">
        <v>51</v>
      </c>
      <c r="C12" s="1" t="s">
        <v>52</v>
      </c>
      <c r="D12" s="18">
        <f>(1.5*6)+1</f>
        <v>10</v>
      </c>
      <c r="E12" s="18"/>
      <c r="F12" s="18"/>
      <c r="G12" s="18"/>
      <c r="H12" s="18"/>
      <c r="I12" s="18"/>
      <c r="J12" s="18"/>
      <c r="K12" s="18">
        <v>1</v>
      </c>
      <c r="L12" s="18">
        <v>2</v>
      </c>
      <c r="M12" s="18"/>
      <c r="N12" s="18">
        <v>2</v>
      </c>
      <c r="O12" s="18">
        <v>2</v>
      </c>
      <c r="P12" s="25"/>
      <c r="Q12" s="18">
        <f t="shared" si="2"/>
        <v>7</v>
      </c>
      <c r="R12" s="25">
        <f t="shared" si="3"/>
        <v>3</v>
      </c>
      <c r="S12" s="57"/>
      <c r="T12" s="8">
        <f>(1.5*7)-0.5</f>
        <v>10</v>
      </c>
      <c r="U12" s="8">
        <f t="shared" si="0"/>
        <v>7</v>
      </c>
      <c r="V12" s="8">
        <f t="shared" si="1"/>
        <v>3</v>
      </c>
      <c r="W12" s="8"/>
    </row>
    <row r="13" spans="1:23">
      <c r="A13" s="1"/>
      <c r="B13" s="1" t="s">
        <v>53</v>
      </c>
      <c r="C13" s="1" t="s">
        <v>54</v>
      </c>
      <c r="D13" s="18">
        <f>(1.5*3)+0.5</f>
        <v>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>
        <v>3</v>
      </c>
      <c r="P13" s="25"/>
      <c r="Q13" s="18">
        <f t="shared" ref="Q13" si="5">SUM(E13:P13)</f>
        <v>3</v>
      </c>
      <c r="R13" s="25">
        <f t="shared" ref="R13" si="6">D13-Q13</f>
        <v>2</v>
      </c>
      <c r="S13" s="57"/>
      <c r="T13" s="8">
        <f>(1.5*4)-1</f>
        <v>5</v>
      </c>
      <c r="U13" s="8">
        <f t="shared" ref="U13" si="7">Q13</f>
        <v>3</v>
      </c>
      <c r="V13" s="8">
        <f t="shared" ref="V13" si="8">T13-Q13</f>
        <v>2</v>
      </c>
      <c r="W13" s="8"/>
    </row>
    <row r="14" spans="1:23">
      <c r="A14" s="8"/>
      <c r="B14" s="8" t="s">
        <v>55</v>
      </c>
      <c r="C14" s="8"/>
      <c r="D14" s="18">
        <v>18</v>
      </c>
      <c r="E14" s="18"/>
      <c r="F14" s="18"/>
      <c r="G14" s="18"/>
      <c r="H14" s="18">
        <v>2</v>
      </c>
      <c r="I14" s="18">
        <v>2</v>
      </c>
      <c r="J14" s="18">
        <v>1</v>
      </c>
      <c r="K14" s="18"/>
      <c r="L14" s="18">
        <v>6</v>
      </c>
      <c r="M14" s="18"/>
      <c r="N14" s="18"/>
      <c r="O14" s="18">
        <v>1</v>
      </c>
      <c r="P14" s="25"/>
      <c r="Q14" s="18">
        <f t="shared" si="2"/>
        <v>12</v>
      </c>
      <c r="R14" s="25">
        <f t="shared" si="3"/>
        <v>6</v>
      </c>
      <c r="S14" s="57"/>
      <c r="T14" s="8">
        <f>1.5*12</f>
        <v>18</v>
      </c>
      <c r="U14" s="8">
        <f t="shared" si="0"/>
        <v>12</v>
      </c>
      <c r="V14" s="8">
        <f t="shared" si="1"/>
        <v>6</v>
      </c>
      <c r="W14" s="8"/>
    </row>
    <row r="15" spans="1:23">
      <c r="A15" s="8"/>
      <c r="B15" s="8" t="s">
        <v>56</v>
      </c>
      <c r="C15" s="8"/>
      <c r="D15" s="18">
        <v>18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5"/>
      <c r="Q15" s="18">
        <f t="shared" si="2"/>
        <v>0</v>
      </c>
      <c r="R15" s="25">
        <f t="shared" si="3"/>
        <v>18</v>
      </c>
      <c r="S15" s="57"/>
      <c r="T15" s="8">
        <f>1.5*9</f>
        <v>13.5</v>
      </c>
      <c r="U15" s="8">
        <f t="shared" si="0"/>
        <v>0</v>
      </c>
      <c r="V15" s="8">
        <f t="shared" si="1"/>
        <v>13.5</v>
      </c>
      <c r="W15" s="8"/>
    </row>
    <row r="16" spans="1:23" s="93" customFormat="1">
      <c r="A16" s="87" t="s">
        <v>57</v>
      </c>
      <c r="B16" s="88" t="s">
        <v>58</v>
      </c>
      <c r="C16" s="88" t="s">
        <v>59</v>
      </c>
      <c r="D16" s="89">
        <v>18</v>
      </c>
      <c r="E16" s="89">
        <v>1</v>
      </c>
      <c r="F16" s="89">
        <v>1</v>
      </c>
      <c r="G16" s="89">
        <v>1</v>
      </c>
      <c r="H16" s="89"/>
      <c r="I16" s="89"/>
      <c r="J16" s="89">
        <v>1</v>
      </c>
      <c r="K16" s="89"/>
      <c r="L16" s="89"/>
      <c r="M16" s="89"/>
      <c r="N16" s="89"/>
      <c r="O16" s="89"/>
      <c r="P16" s="90"/>
      <c r="Q16" s="89">
        <f t="shared" si="2"/>
        <v>4</v>
      </c>
      <c r="R16" s="90">
        <f t="shared" si="3"/>
        <v>14</v>
      </c>
      <c r="S16" s="91"/>
      <c r="T16" s="92">
        <v>12</v>
      </c>
      <c r="U16" s="88">
        <f t="shared" si="0"/>
        <v>4</v>
      </c>
      <c r="V16" s="88">
        <f t="shared" si="1"/>
        <v>8</v>
      </c>
      <c r="W16" s="88"/>
    </row>
    <row r="17" spans="1:23">
      <c r="A17" s="8"/>
      <c r="B17" s="1" t="s">
        <v>60</v>
      </c>
      <c r="C17" s="1" t="s">
        <v>61</v>
      </c>
      <c r="D17" s="18">
        <f>1.5*9</f>
        <v>13.5</v>
      </c>
      <c r="E17" s="18"/>
      <c r="F17" s="18"/>
      <c r="G17" s="18"/>
      <c r="H17" s="18"/>
      <c r="I17" s="18">
        <v>1</v>
      </c>
      <c r="J17" s="18"/>
      <c r="K17" s="18">
        <v>1</v>
      </c>
      <c r="L17" s="18">
        <v>2</v>
      </c>
      <c r="M17" s="18">
        <v>1</v>
      </c>
      <c r="N17" s="18">
        <v>1</v>
      </c>
      <c r="O17" s="18"/>
      <c r="P17" s="25">
        <v>1</v>
      </c>
      <c r="Q17" s="18">
        <f t="shared" si="2"/>
        <v>7</v>
      </c>
      <c r="R17" s="25">
        <f t="shared" si="3"/>
        <v>6.5</v>
      </c>
      <c r="S17" s="57"/>
      <c r="T17" s="8">
        <f>1.5*9</f>
        <v>13.5</v>
      </c>
      <c r="U17" s="8">
        <f t="shared" si="0"/>
        <v>7</v>
      </c>
      <c r="V17" s="8">
        <f t="shared" si="1"/>
        <v>6.5</v>
      </c>
      <c r="W17" s="8"/>
    </row>
    <row r="18" spans="1:23">
      <c r="A18" s="8"/>
      <c r="B18" s="1" t="s">
        <v>62</v>
      </c>
      <c r="C18" s="1" t="s">
        <v>63</v>
      </c>
      <c r="D18" s="18">
        <f t="shared" ref="D18:D25" si="9">1.5*7</f>
        <v>10.5</v>
      </c>
      <c r="E18" s="18"/>
      <c r="F18" s="18"/>
      <c r="G18" s="18"/>
      <c r="H18" s="18"/>
      <c r="I18" s="18"/>
      <c r="J18" s="18"/>
      <c r="K18" s="18">
        <v>2</v>
      </c>
      <c r="L18" s="18">
        <v>1</v>
      </c>
      <c r="M18" s="18">
        <v>2</v>
      </c>
      <c r="N18" s="18"/>
      <c r="O18" s="18"/>
      <c r="P18" s="25">
        <v>1</v>
      </c>
      <c r="Q18" s="18">
        <f t="shared" si="2"/>
        <v>6</v>
      </c>
      <c r="R18" s="25">
        <f t="shared" si="3"/>
        <v>4.5</v>
      </c>
      <c r="S18" s="57"/>
      <c r="T18" s="8">
        <f>1.5*7</f>
        <v>10.5</v>
      </c>
      <c r="U18" s="8">
        <f t="shared" si="0"/>
        <v>6</v>
      </c>
      <c r="V18" s="8">
        <f t="shared" si="1"/>
        <v>4.5</v>
      </c>
      <c r="W18" s="8"/>
    </row>
    <row r="19" spans="1:23" s="93" customFormat="1">
      <c r="A19" s="88"/>
      <c r="B19" s="87" t="s">
        <v>64</v>
      </c>
      <c r="C19" s="87" t="s">
        <v>63</v>
      </c>
      <c r="D19" s="89">
        <f t="shared" si="9"/>
        <v>10.5</v>
      </c>
      <c r="E19" s="89"/>
      <c r="F19" s="89"/>
      <c r="G19" s="89"/>
      <c r="H19" s="89"/>
      <c r="I19" s="89"/>
      <c r="J19" s="89">
        <v>1</v>
      </c>
      <c r="K19" s="89">
        <v>2</v>
      </c>
      <c r="L19" s="89">
        <v>1</v>
      </c>
      <c r="M19" s="89"/>
      <c r="N19" s="89"/>
      <c r="O19" s="89"/>
      <c r="P19" s="90"/>
      <c r="Q19" s="89">
        <f t="shared" si="2"/>
        <v>4</v>
      </c>
      <c r="R19" s="90">
        <f t="shared" si="3"/>
        <v>6.5</v>
      </c>
      <c r="S19" s="91"/>
      <c r="T19" s="88">
        <f>1.5*6</f>
        <v>9</v>
      </c>
      <c r="U19" s="88">
        <f t="shared" si="0"/>
        <v>4</v>
      </c>
      <c r="V19" s="88">
        <f t="shared" si="1"/>
        <v>5</v>
      </c>
      <c r="W19" s="88"/>
    </row>
    <row r="20" spans="1:23">
      <c r="A20" s="8"/>
      <c r="B20" s="1" t="s">
        <v>65</v>
      </c>
      <c r="C20" s="1" t="s">
        <v>63</v>
      </c>
      <c r="D20" s="18">
        <f t="shared" si="9"/>
        <v>10.5</v>
      </c>
      <c r="E20" s="18"/>
      <c r="F20" s="18"/>
      <c r="G20" s="18"/>
      <c r="H20" s="18"/>
      <c r="I20" s="18"/>
      <c r="J20" s="18">
        <v>1</v>
      </c>
      <c r="K20" s="18">
        <v>2</v>
      </c>
      <c r="L20" s="18"/>
      <c r="M20" s="18"/>
      <c r="N20" s="18">
        <v>4.5</v>
      </c>
      <c r="O20" s="18"/>
      <c r="P20" s="25">
        <v>1</v>
      </c>
      <c r="Q20" s="18">
        <f t="shared" si="2"/>
        <v>8.5</v>
      </c>
      <c r="R20" s="25">
        <f t="shared" si="3"/>
        <v>2</v>
      </c>
      <c r="S20" s="57"/>
      <c r="T20" s="8">
        <f>1.5*7</f>
        <v>10.5</v>
      </c>
      <c r="U20" s="8">
        <f t="shared" ref="U20:U24" si="10">Q20</f>
        <v>8.5</v>
      </c>
      <c r="V20" s="8">
        <f t="shared" si="1"/>
        <v>2</v>
      </c>
      <c r="W20" s="8">
        <v>4.5</v>
      </c>
    </row>
    <row r="21" spans="1:23">
      <c r="A21" s="8"/>
      <c r="B21" s="1" t="s">
        <v>66</v>
      </c>
      <c r="C21" s="1" t="s">
        <v>67</v>
      </c>
      <c r="D21" s="18">
        <f t="shared" si="9"/>
        <v>10.5</v>
      </c>
      <c r="E21" s="18"/>
      <c r="F21" s="18"/>
      <c r="G21" s="18"/>
      <c r="H21" s="18"/>
      <c r="I21" s="18"/>
      <c r="J21" s="18"/>
      <c r="K21" s="18"/>
      <c r="L21" s="18">
        <v>1</v>
      </c>
      <c r="M21" s="18"/>
      <c r="N21" s="18">
        <v>3</v>
      </c>
      <c r="O21" s="18">
        <v>1</v>
      </c>
      <c r="P21" s="25"/>
      <c r="Q21" s="18">
        <f t="shared" si="2"/>
        <v>5</v>
      </c>
      <c r="R21" s="25">
        <f t="shared" si="3"/>
        <v>5.5</v>
      </c>
      <c r="S21" s="57"/>
      <c r="T21" s="8">
        <f>1.5*7</f>
        <v>10.5</v>
      </c>
      <c r="U21" s="8">
        <f t="shared" si="10"/>
        <v>5</v>
      </c>
      <c r="V21" s="8">
        <f>T21-Q21</f>
        <v>5.5</v>
      </c>
      <c r="W21" s="8"/>
    </row>
    <row r="22" spans="1:23" s="93" customFormat="1">
      <c r="A22" s="88"/>
      <c r="B22" s="87" t="s">
        <v>68</v>
      </c>
      <c r="C22" s="87" t="s">
        <v>67</v>
      </c>
      <c r="D22" s="89">
        <f t="shared" si="9"/>
        <v>10.5</v>
      </c>
      <c r="E22" s="89"/>
      <c r="F22" s="89"/>
      <c r="G22" s="89"/>
      <c r="H22" s="89"/>
      <c r="I22" s="89"/>
      <c r="J22" s="89">
        <v>1.5</v>
      </c>
      <c r="K22" s="89">
        <v>1.5</v>
      </c>
      <c r="L22" s="89">
        <v>1.5</v>
      </c>
      <c r="M22" s="89"/>
      <c r="N22" s="89"/>
      <c r="O22" s="89"/>
      <c r="P22" s="90"/>
      <c r="Q22" s="89">
        <f t="shared" si="2"/>
        <v>4.5</v>
      </c>
      <c r="R22" s="90">
        <f t="shared" si="3"/>
        <v>6</v>
      </c>
      <c r="S22" s="91"/>
      <c r="T22" s="88">
        <f>1.5*6</f>
        <v>9</v>
      </c>
      <c r="U22" s="88">
        <f t="shared" si="10"/>
        <v>4.5</v>
      </c>
      <c r="V22" s="88">
        <f>T22-Q22</f>
        <v>4.5</v>
      </c>
      <c r="W22" s="92">
        <v>2</v>
      </c>
    </row>
    <row r="23" spans="1:23">
      <c r="A23" s="8"/>
      <c r="B23" s="1" t="s">
        <v>69</v>
      </c>
      <c r="C23" s="1" t="s">
        <v>67</v>
      </c>
      <c r="D23" s="18">
        <f t="shared" si="9"/>
        <v>10.5</v>
      </c>
      <c r="E23" s="18"/>
      <c r="F23" s="18"/>
      <c r="G23" s="18"/>
      <c r="H23" s="18"/>
      <c r="I23" s="18"/>
      <c r="J23" s="18"/>
      <c r="K23" s="18">
        <v>1</v>
      </c>
      <c r="L23" s="18">
        <v>2</v>
      </c>
      <c r="M23" s="18"/>
      <c r="N23" s="18"/>
      <c r="O23" s="18">
        <v>1</v>
      </c>
      <c r="P23" s="25">
        <v>2</v>
      </c>
      <c r="Q23" s="18">
        <f t="shared" si="2"/>
        <v>6</v>
      </c>
      <c r="R23" s="25">
        <f t="shared" si="3"/>
        <v>4.5</v>
      </c>
      <c r="S23" s="57"/>
      <c r="T23" s="8">
        <f>1.5*7</f>
        <v>10.5</v>
      </c>
      <c r="U23" s="8">
        <f t="shared" si="10"/>
        <v>6</v>
      </c>
      <c r="V23" s="8">
        <f>T23-Q23</f>
        <v>4.5</v>
      </c>
      <c r="W23" s="8"/>
    </row>
    <row r="24" spans="1:23">
      <c r="A24" s="28"/>
      <c r="B24" s="51" t="s">
        <v>70</v>
      </c>
      <c r="C24" s="51" t="s">
        <v>71</v>
      </c>
      <c r="D24" s="52">
        <v>10</v>
      </c>
      <c r="E24" s="52"/>
      <c r="F24" s="52"/>
      <c r="G24" s="52"/>
      <c r="H24" s="52"/>
      <c r="I24" s="52"/>
      <c r="J24" s="52"/>
      <c r="K24" s="52">
        <v>1</v>
      </c>
      <c r="L24" s="52"/>
      <c r="M24" s="52"/>
      <c r="N24" s="52">
        <v>1</v>
      </c>
      <c r="O24" s="52">
        <v>2</v>
      </c>
      <c r="P24" s="53"/>
      <c r="Q24" s="52">
        <f t="shared" si="2"/>
        <v>4</v>
      </c>
      <c r="R24" s="53">
        <f t="shared" si="3"/>
        <v>6</v>
      </c>
      <c r="S24" s="58"/>
      <c r="T24" s="8">
        <f>(1.5*7)-0.5</f>
        <v>10</v>
      </c>
      <c r="U24" s="8">
        <f t="shared" si="10"/>
        <v>4</v>
      </c>
      <c r="V24" s="8">
        <f>T24-Q24</f>
        <v>6</v>
      </c>
      <c r="W24" s="8"/>
    </row>
    <row r="25" spans="1:23">
      <c r="A25" s="28"/>
      <c r="B25" s="28" t="s">
        <v>72</v>
      </c>
      <c r="C25" s="51" t="s">
        <v>73</v>
      </c>
      <c r="D25" s="18">
        <f>1.5*6</f>
        <v>9</v>
      </c>
      <c r="E25" s="8"/>
      <c r="F25" s="8"/>
      <c r="G25" s="8"/>
      <c r="H25" s="8"/>
      <c r="I25" s="8"/>
      <c r="J25" s="8"/>
      <c r="K25" s="18">
        <v>1.5</v>
      </c>
      <c r="L25" s="18">
        <v>1.5</v>
      </c>
      <c r="M25" s="18">
        <v>1.5</v>
      </c>
      <c r="N25" s="18">
        <v>1.5</v>
      </c>
      <c r="O25" s="18">
        <v>1</v>
      </c>
      <c r="P25" s="8"/>
      <c r="Q25" s="18">
        <f t="shared" ref="Q25" si="11">SUM(E25:P25)</f>
        <v>7</v>
      </c>
      <c r="R25" s="25">
        <f t="shared" ref="R25" si="12">D25-Q25</f>
        <v>2</v>
      </c>
      <c r="S25" s="57"/>
      <c r="T25" s="8">
        <f>1.5*6</f>
        <v>9</v>
      </c>
      <c r="U25" s="8">
        <f>Q25</f>
        <v>7</v>
      </c>
      <c r="V25" s="8">
        <f>T25-Q25</f>
        <v>2</v>
      </c>
      <c r="W25" s="8">
        <v>16.5</v>
      </c>
    </row>
    <row r="26" spans="1:23">
      <c r="A26" s="28" t="s">
        <v>74</v>
      </c>
      <c r="B26" s="28" t="s">
        <v>75</v>
      </c>
      <c r="C26" s="28" t="s">
        <v>76</v>
      </c>
      <c r="D26" s="98">
        <f>1.5*3</f>
        <v>4.5</v>
      </c>
      <c r="E26" s="28"/>
      <c r="F26" s="28"/>
      <c r="G26" s="28"/>
      <c r="H26" s="28"/>
      <c r="I26" s="28"/>
      <c r="J26" s="28"/>
      <c r="K26" s="28"/>
      <c r="L26" s="28"/>
      <c r="M26" s="28"/>
      <c r="N26" s="52">
        <v>1</v>
      </c>
      <c r="O26" s="52">
        <v>1</v>
      </c>
      <c r="P26" s="28"/>
      <c r="Q26" s="52">
        <f t="shared" ref="Q26:Q28" si="13">SUM(E26:P26)</f>
        <v>2</v>
      </c>
      <c r="R26" s="53">
        <f t="shared" ref="R26" si="14">D26-Q26</f>
        <v>2.5</v>
      </c>
      <c r="S26" s="58"/>
      <c r="T26" s="28">
        <f>(1.5*3)+0.5</f>
        <v>5</v>
      </c>
      <c r="U26" s="28">
        <f>Q26</f>
        <v>2</v>
      </c>
      <c r="V26" s="28">
        <f>T26-Q26</f>
        <v>3</v>
      </c>
      <c r="W26" s="28">
        <v>14</v>
      </c>
    </row>
    <row r="27" spans="1:23">
      <c r="A27" s="8"/>
      <c r="B27" s="8" t="s">
        <v>77</v>
      </c>
      <c r="C27" s="8" t="s">
        <v>78</v>
      </c>
      <c r="D27" s="18">
        <f>1.5*2</f>
        <v>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2">
        <f t="shared" si="13"/>
        <v>0</v>
      </c>
      <c r="R27" s="18">
        <f t="shared" ref="R27" si="15">D27-Q27</f>
        <v>3</v>
      </c>
      <c r="S27" s="99"/>
      <c r="T27" s="8">
        <f>1.5*2</f>
        <v>3</v>
      </c>
      <c r="U27" s="8">
        <f>Q27</f>
        <v>0</v>
      </c>
      <c r="V27" s="8">
        <f>T27-Q27</f>
        <v>3</v>
      </c>
      <c r="W27" s="8"/>
    </row>
    <row r="28" spans="1:23">
      <c r="A28" s="8"/>
      <c r="B28" s="8" t="s">
        <v>79</v>
      </c>
      <c r="C28" s="8" t="s">
        <v>80</v>
      </c>
      <c r="D28" s="18">
        <f>(1.5*1)-0.5</f>
        <v>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18">
        <v>1</v>
      </c>
      <c r="P28" s="25">
        <v>1.5</v>
      </c>
      <c r="Q28" s="18">
        <f t="shared" si="13"/>
        <v>2.5</v>
      </c>
      <c r="R28" s="102">
        <f t="shared" ref="R28" si="16">D28-Q28</f>
        <v>-1.5</v>
      </c>
      <c r="S28" s="99"/>
      <c r="T28" s="8">
        <f>(1.5*2)-0.5</f>
        <v>2.5</v>
      </c>
      <c r="U28" s="8">
        <f>Q28</f>
        <v>2.5</v>
      </c>
      <c r="V28" s="8">
        <f>T28-Q28</f>
        <v>0</v>
      </c>
      <c r="W2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"/>
  <sheetViews>
    <sheetView workbookViewId="0">
      <pane ySplit="1" topLeftCell="A4" activePane="bottomLeft" state="frozen"/>
      <selection pane="bottomLeft" activeCell="Y17" sqref="Y17"/>
    </sheetView>
  </sheetViews>
  <sheetFormatPr defaultRowHeight="15"/>
  <cols>
    <col min="2" max="2" width="25.7109375" bestFit="1" customWidth="1"/>
    <col min="3" max="3" width="16.140625" customWidth="1"/>
  </cols>
  <sheetData>
    <row r="1" spans="1:37" s="15" customFormat="1">
      <c r="A1" s="15" t="s">
        <v>0</v>
      </c>
      <c r="B1" s="15" t="s">
        <v>1</v>
      </c>
      <c r="C1" s="15" t="s">
        <v>2</v>
      </c>
      <c r="D1" s="23">
        <v>45717</v>
      </c>
      <c r="E1" s="23">
        <v>45718</v>
      </c>
      <c r="F1" s="24">
        <v>45719</v>
      </c>
      <c r="G1" s="24">
        <v>45720</v>
      </c>
      <c r="H1" s="24">
        <v>45721</v>
      </c>
      <c r="I1" s="24">
        <v>45722</v>
      </c>
      <c r="J1" s="23">
        <v>45723</v>
      </c>
      <c r="K1" s="23">
        <v>45724</v>
      </c>
      <c r="L1" s="23">
        <v>45725</v>
      </c>
      <c r="M1" s="24">
        <v>45726</v>
      </c>
      <c r="N1" s="24">
        <v>45727</v>
      </c>
      <c r="O1" s="24">
        <v>45728</v>
      </c>
      <c r="P1" s="24">
        <v>45729</v>
      </c>
      <c r="Q1" s="23">
        <v>45730</v>
      </c>
      <c r="R1" s="23">
        <v>45731</v>
      </c>
      <c r="S1" s="23">
        <v>45732</v>
      </c>
      <c r="T1" s="24">
        <v>45733</v>
      </c>
      <c r="U1" s="24">
        <v>45734</v>
      </c>
      <c r="V1" s="24">
        <v>45735</v>
      </c>
      <c r="W1" s="24">
        <v>45736</v>
      </c>
      <c r="X1" s="23">
        <v>45737</v>
      </c>
      <c r="Y1" s="23">
        <v>45738</v>
      </c>
      <c r="Z1" s="23">
        <v>45739</v>
      </c>
      <c r="AA1" s="24">
        <v>45740</v>
      </c>
      <c r="AB1" s="24">
        <v>45741</v>
      </c>
      <c r="AC1" s="24">
        <v>45742</v>
      </c>
      <c r="AD1" s="24">
        <v>45743</v>
      </c>
      <c r="AE1" s="23">
        <v>45744</v>
      </c>
      <c r="AF1" s="23">
        <v>45745</v>
      </c>
      <c r="AG1" s="23">
        <v>45746</v>
      </c>
      <c r="AH1" s="24">
        <v>45747</v>
      </c>
      <c r="AI1" s="31" t="s">
        <v>81</v>
      </c>
      <c r="AJ1" s="32" t="s">
        <v>82</v>
      </c>
      <c r="AK1" s="30"/>
    </row>
    <row r="2" spans="1:37">
      <c r="A2" s="16" t="s">
        <v>83</v>
      </c>
      <c r="B2" s="17" t="s">
        <v>84</v>
      </c>
      <c r="C2" s="19" t="s">
        <v>85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 t="s">
        <v>82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20"/>
      <c r="AC2" s="8"/>
      <c r="AD2" s="8"/>
      <c r="AE2" s="8"/>
      <c r="AF2" s="20"/>
      <c r="AG2" s="8"/>
      <c r="AH2" s="20"/>
      <c r="AI2" s="33">
        <f>COUNTIF(D2:AH2,"Leave")</f>
        <v>0</v>
      </c>
      <c r="AJ2" s="34">
        <f t="shared" ref="AJ2:AJ6" si="0">COUNTIF(B2:AI2,"WFH")</f>
        <v>1</v>
      </c>
    </row>
    <row r="3" spans="1:37">
      <c r="A3" s="7" t="s">
        <v>21</v>
      </c>
      <c r="B3" s="1" t="s">
        <v>22</v>
      </c>
      <c r="C3" s="20" t="s">
        <v>23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">
        <v>82</v>
      </c>
      <c r="Q3" s="8"/>
      <c r="R3" s="8"/>
      <c r="S3" s="8"/>
      <c r="T3" s="8"/>
      <c r="U3" s="8"/>
      <c r="V3" s="8"/>
      <c r="W3" s="8" t="s">
        <v>82</v>
      </c>
      <c r="X3" s="8"/>
      <c r="Y3" s="8"/>
      <c r="Z3" s="8"/>
      <c r="AA3" s="8"/>
      <c r="AB3" s="20"/>
      <c r="AC3" s="8"/>
      <c r="AD3" s="8"/>
      <c r="AE3" s="8"/>
      <c r="AF3" s="20"/>
      <c r="AG3" s="8"/>
      <c r="AH3" s="20"/>
      <c r="AI3" s="33">
        <f t="shared" ref="AI3:AI23" si="1">COUNTIF(D3:AH3,"Leave")</f>
        <v>0</v>
      </c>
      <c r="AJ3" s="34">
        <f t="shared" si="0"/>
        <v>2</v>
      </c>
    </row>
    <row r="4" spans="1:37" ht="15.75">
      <c r="A4" s="7" t="s">
        <v>24</v>
      </c>
      <c r="B4" s="2" t="s">
        <v>25</v>
      </c>
      <c r="C4" s="20" t="s">
        <v>26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20"/>
      <c r="AC4" s="8"/>
      <c r="AD4" s="8"/>
      <c r="AE4" s="8"/>
      <c r="AF4" s="20"/>
      <c r="AG4" s="8"/>
      <c r="AH4" s="20"/>
      <c r="AI4" s="33">
        <f t="shared" si="1"/>
        <v>0</v>
      </c>
      <c r="AJ4" s="34">
        <f t="shared" si="0"/>
        <v>0</v>
      </c>
    </row>
    <row r="5" spans="1:37" ht="15.75">
      <c r="A5" s="7" t="s">
        <v>86</v>
      </c>
      <c r="B5" s="2" t="s">
        <v>87</v>
      </c>
      <c r="C5" s="20" t="s">
        <v>88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 t="s">
        <v>82</v>
      </c>
      <c r="Q5" s="8"/>
      <c r="R5" s="8"/>
      <c r="S5" s="8"/>
      <c r="T5" s="8"/>
      <c r="U5" s="8" t="s">
        <v>81</v>
      </c>
      <c r="V5" s="8" t="s">
        <v>82</v>
      </c>
      <c r="W5" s="8"/>
      <c r="X5" s="8"/>
      <c r="Y5" s="8"/>
      <c r="Z5" s="8"/>
      <c r="AA5" s="8"/>
      <c r="AB5" s="20"/>
      <c r="AC5" s="8"/>
      <c r="AD5" s="8"/>
      <c r="AE5" s="8"/>
      <c r="AF5" s="20"/>
      <c r="AG5" s="8"/>
      <c r="AH5" s="20"/>
      <c r="AI5" s="33">
        <f t="shared" si="1"/>
        <v>1</v>
      </c>
      <c r="AJ5" s="34">
        <f t="shared" si="0"/>
        <v>2</v>
      </c>
    </row>
    <row r="6" spans="1:37" ht="15.75">
      <c r="A6" s="7" t="s">
        <v>89</v>
      </c>
      <c r="B6" s="3" t="s">
        <v>90</v>
      </c>
      <c r="C6" s="20" t="s">
        <v>91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20"/>
      <c r="AC6" s="8"/>
      <c r="AD6" s="8"/>
      <c r="AE6" s="8"/>
      <c r="AF6" s="20"/>
      <c r="AG6" s="8"/>
      <c r="AH6" s="20"/>
      <c r="AI6" s="33">
        <f t="shared" si="1"/>
        <v>0</v>
      </c>
      <c r="AJ6" s="34">
        <f t="shared" si="0"/>
        <v>0</v>
      </c>
    </row>
    <row r="7" spans="1:37">
      <c r="A7" s="10" t="s">
        <v>92</v>
      </c>
      <c r="B7" s="4" t="s">
        <v>93</v>
      </c>
      <c r="C7" s="21" t="s">
        <v>94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 t="s">
        <v>82</v>
      </c>
      <c r="X7" s="8"/>
      <c r="Y7" s="8"/>
      <c r="Z7" s="8"/>
      <c r="AA7" s="8" t="s">
        <v>81</v>
      </c>
      <c r="AB7" s="20"/>
      <c r="AC7" s="8"/>
      <c r="AD7" s="8"/>
      <c r="AE7" s="8"/>
      <c r="AF7" s="20"/>
      <c r="AG7" s="8"/>
      <c r="AH7" s="20"/>
      <c r="AI7" s="33">
        <f t="shared" si="1"/>
        <v>1</v>
      </c>
      <c r="AJ7" s="34">
        <f>COUNTIF(B7:AI7,"WFH")</f>
        <v>1</v>
      </c>
    </row>
    <row r="8" spans="1:37" ht="15.75">
      <c r="A8" s="7" t="s">
        <v>95</v>
      </c>
      <c r="B8" s="3" t="s">
        <v>96</v>
      </c>
      <c r="C8" s="22" t="s">
        <v>97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20"/>
      <c r="AC8" s="8"/>
      <c r="AD8" s="8"/>
      <c r="AE8" s="8"/>
      <c r="AF8" s="20"/>
      <c r="AG8" s="8"/>
      <c r="AH8" s="20"/>
      <c r="AI8" s="33">
        <f t="shared" si="1"/>
        <v>0</v>
      </c>
      <c r="AJ8" s="34">
        <f t="shared" ref="AJ8:AJ23" si="2">COUNTIF(B8:AI8,"WFH")</f>
        <v>0</v>
      </c>
    </row>
    <row r="9" spans="1:37" ht="16.5" customHeight="1">
      <c r="A9" s="7" t="s">
        <v>98</v>
      </c>
      <c r="B9" s="5" t="s">
        <v>99</v>
      </c>
      <c r="C9" s="22" t="s">
        <v>100</v>
      </c>
      <c r="D9" s="8"/>
      <c r="E9" s="8"/>
      <c r="F9" s="8"/>
      <c r="G9" s="8"/>
      <c r="H9" s="8"/>
      <c r="I9" s="8"/>
      <c r="J9" s="8"/>
      <c r="K9" s="8"/>
      <c r="L9" s="8"/>
      <c r="M9" s="8" t="s">
        <v>82</v>
      </c>
      <c r="N9" s="8" t="s">
        <v>82</v>
      </c>
      <c r="O9" s="8" t="s">
        <v>82</v>
      </c>
      <c r="P9" s="8" t="s">
        <v>82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20"/>
      <c r="AC9" s="8"/>
      <c r="AD9" s="8"/>
      <c r="AE9" s="8"/>
      <c r="AF9" s="20"/>
      <c r="AG9" s="8"/>
      <c r="AH9" s="20"/>
      <c r="AI9" s="33">
        <f t="shared" si="1"/>
        <v>0</v>
      </c>
      <c r="AJ9" s="34">
        <f t="shared" si="2"/>
        <v>4</v>
      </c>
    </row>
    <row r="10" spans="1:37" s="6" customFormat="1" ht="15" customHeight="1">
      <c r="A10" s="7" t="s">
        <v>101</v>
      </c>
      <c r="B10" s="1" t="s">
        <v>102</v>
      </c>
      <c r="C10" s="22" t="s">
        <v>103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25"/>
      <c r="AC10" s="18"/>
      <c r="AD10" s="18"/>
      <c r="AE10" s="18"/>
      <c r="AF10" s="25"/>
      <c r="AG10" s="18"/>
      <c r="AH10" s="25"/>
      <c r="AI10" s="33">
        <f t="shared" si="1"/>
        <v>0</v>
      </c>
      <c r="AJ10" s="34">
        <f t="shared" si="2"/>
        <v>0</v>
      </c>
    </row>
    <row r="11" spans="1:37">
      <c r="A11" s="7" t="s">
        <v>27</v>
      </c>
      <c r="B11" s="1" t="s">
        <v>28</v>
      </c>
      <c r="C11" s="22" t="s">
        <v>29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20"/>
      <c r="AC11" s="8"/>
      <c r="AD11" s="8"/>
      <c r="AE11" s="8"/>
      <c r="AF11" s="20"/>
      <c r="AG11" s="8"/>
      <c r="AH11" s="20"/>
      <c r="AI11" s="33">
        <f t="shared" si="1"/>
        <v>0</v>
      </c>
      <c r="AJ11" s="34">
        <f t="shared" si="2"/>
        <v>0</v>
      </c>
    </row>
    <row r="12" spans="1:37">
      <c r="A12" s="7" t="s">
        <v>30</v>
      </c>
      <c r="B12" s="1" t="s">
        <v>31</v>
      </c>
      <c r="C12" s="22" t="s">
        <v>29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20"/>
      <c r="AC12" s="8"/>
      <c r="AD12" s="8"/>
      <c r="AE12" s="8"/>
      <c r="AF12" s="20"/>
      <c r="AG12" s="8"/>
      <c r="AH12" s="20"/>
      <c r="AI12" s="33">
        <f t="shared" si="1"/>
        <v>0</v>
      </c>
      <c r="AJ12" s="34">
        <f t="shared" si="2"/>
        <v>0</v>
      </c>
    </row>
    <row r="13" spans="1:37">
      <c r="A13" s="11" t="s">
        <v>32</v>
      </c>
      <c r="B13" s="1" t="s">
        <v>33</v>
      </c>
      <c r="C13" s="22" t="s">
        <v>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20"/>
      <c r="AC13" s="8"/>
      <c r="AD13" s="8"/>
      <c r="AE13" s="8"/>
      <c r="AF13" s="20"/>
      <c r="AG13" s="8"/>
      <c r="AH13" s="20"/>
      <c r="AI13" s="33">
        <f t="shared" si="1"/>
        <v>0</v>
      </c>
      <c r="AJ13" s="34">
        <f t="shared" si="2"/>
        <v>0</v>
      </c>
    </row>
    <row r="14" spans="1:37">
      <c r="A14" s="12" t="s">
        <v>35</v>
      </c>
      <c r="B14" s="1" t="s">
        <v>36</v>
      </c>
      <c r="C14" s="22" t="s">
        <v>37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20"/>
      <c r="AC14" s="8"/>
      <c r="AD14" s="8"/>
      <c r="AE14" s="8"/>
      <c r="AF14" s="20"/>
      <c r="AG14" s="8"/>
      <c r="AH14" s="20"/>
      <c r="AI14" s="33">
        <f t="shared" si="1"/>
        <v>0</v>
      </c>
      <c r="AJ14" s="34">
        <f t="shared" si="2"/>
        <v>0</v>
      </c>
    </row>
    <row r="15" spans="1:37" ht="16.5">
      <c r="A15" s="13" t="s">
        <v>104</v>
      </c>
      <c r="B15" s="9" t="s">
        <v>105</v>
      </c>
      <c r="C15" s="22" t="s">
        <v>106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20"/>
      <c r="AC15" s="8"/>
      <c r="AD15" s="8"/>
      <c r="AE15" s="8"/>
      <c r="AF15" s="20"/>
      <c r="AG15" s="8"/>
      <c r="AH15" s="20"/>
      <c r="AI15" s="33">
        <f t="shared" si="1"/>
        <v>0</v>
      </c>
      <c r="AJ15" s="34">
        <f t="shared" si="2"/>
        <v>0</v>
      </c>
    </row>
    <row r="16" spans="1:37">
      <c r="A16" s="13" t="s">
        <v>107</v>
      </c>
      <c r="B16" s="1" t="s">
        <v>108</v>
      </c>
      <c r="C16" s="22" t="s">
        <v>106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0"/>
      <c r="AC16" s="8"/>
      <c r="AD16" s="8"/>
      <c r="AE16" s="8"/>
      <c r="AF16" s="20"/>
      <c r="AG16" s="8"/>
      <c r="AH16" s="20"/>
      <c r="AI16" s="33">
        <f t="shared" si="1"/>
        <v>0</v>
      </c>
      <c r="AJ16" s="34">
        <f t="shared" si="2"/>
        <v>0</v>
      </c>
    </row>
    <row r="17" spans="1:36" ht="16.5">
      <c r="A17" s="13" t="s">
        <v>109</v>
      </c>
      <c r="B17" s="9" t="s">
        <v>110</v>
      </c>
      <c r="C17" s="22" t="s">
        <v>111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20"/>
      <c r="AC17" s="8"/>
      <c r="AD17" s="8"/>
      <c r="AE17" s="8"/>
      <c r="AF17" s="20"/>
      <c r="AG17" s="8"/>
      <c r="AH17" s="20"/>
      <c r="AI17" s="33">
        <f t="shared" si="1"/>
        <v>0</v>
      </c>
      <c r="AJ17" s="34">
        <f t="shared" si="2"/>
        <v>0</v>
      </c>
    </row>
    <row r="18" spans="1:36">
      <c r="A18" s="14" t="s">
        <v>38</v>
      </c>
      <c r="B18" s="1" t="s">
        <v>39</v>
      </c>
      <c r="C18" s="27" t="s">
        <v>40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8"/>
      <c r="U18" s="8"/>
      <c r="V18" s="8"/>
      <c r="W18" s="8"/>
      <c r="X18" s="8"/>
      <c r="Y18" s="8"/>
      <c r="Z18" s="8"/>
      <c r="AA18" s="8"/>
      <c r="AB18" s="20"/>
      <c r="AC18" s="8"/>
      <c r="AD18" s="8"/>
      <c r="AE18" s="8"/>
      <c r="AF18" s="20"/>
      <c r="AG18" s="8"/>
      <c r="AH18" s="20"/>
      <c r="AI18" s="33">
        <f t="shared" si="1"/>
        <v>0</v>
      </c>
      <c r="AJ18" s="34">
        <f t="shared" si="2"/>
        <v>0</v>
      </c>
    </row>
    <row r="19" spans="1:36">
      <c r="A19" s="14" t="s">
        <v>41</v>
      </c>
      <c r="B19" s="1" t="s">
        <v>42</v>
      </c>
      <c r="C19" s="22" t="s">
        <v>43</v>
      </c>
      <c r="D19" s="26"/>
      <c r="E19" s="26"/>
      <c r="F19" s="26"/>
      <c r="G19" s="26"/>
      <c r="H19" s="26"/>
      <c r="I19" s="26"/>
      <c r="J19" s="26"/>
      <c r="K19" s="26"/>
      <c r="L19" s="2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20"/>
      <c r="AC19" s="8"/>
      <c r="AD19" s="8"/>
      <c r="AE19" s="8"/>
      <c r="AF19" s="20"/>
      <c r="AG19" s="8"/>
      <c r="AH19" s="20"/>
      <c r="AI19" s="33">
        <f t="shared" si="1"/>
        <v>0</v>
      </c>
      <c r="AJ19" s="34">
        <f t="shared" si="2"/>
        <v>0</v>
      </c>
    </row>
    <row r="20" spans="1:36">
      <c r="A20" s="14" t="s">
        <v>112</v>
      </c>
      <c r="B20" s="1" t="s">
        <v>113</v>
      </c>
      <c r="C20" s="22" t="s">
        <v>43</v>
      </c>
      <c r="D20" s="26"/>
      <c r="E20" s="26"/>
      <c r="F20" s="26"/>
      <c r="G20" s="26"/>
      <c r="H20" s="26"/>
      <c r="I20" s="26"/>
      <c r="J20" s="26"/>
      <c r="K20" s="26"/>
      <c r="L20" s="2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9"/>
      <c r="AC20" s="28"/>
      <c r="AD20" s="28"/>
      <c r="AE20" s="28"/>
      <c r="AF20" s="29"/>
      <c r="AG20" s="28"/>
      <c r="AH20" s="29"/>
      <c r="AI20" s="33">
        <f t="shared" si="1"/>
        <v>0</v>
      </c>
      <c r="AJ20" s="34">
        <f t="shared" si="2"/>
        <v>0</v>
      </c>
    </row>
    <row r="21" spans="1:36">
      <c r="A21" s="8"/>
      <c r="B21" s="8" t="s">
        <v>55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 t="s">
        <v>82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20"/>
      <c r="AI21" s="33">
        <f t="shared" si="1"/>
        <v>0</v>
      </c>
      <c r="AJ21" s="34">
        <f t="shared" si="2"/>
        <v>1</v>
      </c>
    </row>
    <row r="22" spans="1:36">
      <c r="A22" s="8"/>
      <c r="B22" s="8" t="s">
        <v>56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20"/>
      <c r="AI22" s="33">
        <f t="shared" si="1"/>
        <v>0</v>
      </c>
      <c r="AJ22" s="34">
        <f t="shared" si="2"/>
        <v>0</v>
      </c>
    </row>
    <row r="23" spans="1:36">
      <c r="A23" s="8"/>
      <c r="B23" s="8" t="s">
        <v>58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20"/>
      <c r="AI23" s="33">
        <f t="shared" si="1"/>
        <v>0</v>
      </c>
      <c r="AJ23" s="34">
        <f t="shared" si="2"/>
        <v>0</v>
      </c>
    </row>
    <row r="26" spans="1:36">
      <c r="B26" t="s">
        <v>114</v>
      </c>
      <c r="C2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BB89-9BDE-49A3-9107-F26E24784179}">
  <dimension ref="A1:AJ26"/>
  <sheetViews>
    <sheetView workbookViewId="0">
      <pane ySplit="1" topLeftCell="A9" activePane="bottomLeft" state="frozen"/>
      <selection pane="bottomLeft" activeCell="A16" sqref="A16"/>
    </sheetView>
  </sheetViews>
  <sheetFormatPr defaultRowHeight="15"/>
  <cols>
    <col min="2" max="2" width="25.7109375" bestFit="1" customWidth="1"/>
    <col min="3" max="3" width="16.140625" customWidth="1"/>
  </cols>
  <sheetData>
    <row r="1" spans="1:36" s="15" customFormat="1">
      <c r="A1" s="15" t="s">
        <v>0</v>
      </c>
      <c r="B1" s="15" t="s">
        <v>1</v>
      </c>
      <c r="C1" s="15" t="s">
        <v>2</v>
      </c>
      <c r="D1" s="24">
        <v>45748</v>
      </c>
      <c r="E1" s="24">
        <v>45749</v>
      </c>
      <c r="F1" s="24">
        <v>45750</v>
      </c>
      <c r="G1" s="24">
        <v>45751</v>
      </c>
      <c r="H1" s="23">
        <v>45752</v>
      </c>
      <c r="I1" s="23">
        <v>45753</v>
      </c>
      <c r="J1" s="24">
        <v>45754</v>
      </c>
      <c r="K1" s="24">
        <v>45755</v>
      </c>
      <c r="L1" s="24">
        <v>45756</v>
      </c>
      <c r="M1" s="24">
        <v>45757</v>
      </c>
      <c r="N1" s="24">
        <v>45758</v>
      </c>
      <c r="O1" s="23">
        <v>45759</v>
      </c>
      <c r="P1" s="23">
        <v>45760</v>
      </c>
      <c r="Q1" s="24">
        <v>45761</v>
      </c>
      <c r="R1" s="24">
        <v>45762</v>
      </c>
      <c r="S1" s="24">
        <v>45763</v>
      </c>
      <c r="T1" s="24">
        <v>45764</v>
      </c>
      <c r="U1" s="24">
        <v>45765</v>
      </c>
      <c r="V1" s="23">
        <v>45766</v>
      </c>
      <c r="W1" s="23">
        <v>45767</v>
      </c>
      <c r="X1" s="24">
        <v>45768</v>
      </c>
      <c r="Y1" s="24">
        <v>45769</v>
      </c>
      <c r="Z1" s="24">
        <v>45770</v>
      </c>
      <c r="AA1" s="24">
        <v>45771</v>
      </c>
      <c r="AB1" s="24">
        <v>45772</v>
      </c>
      <c r="AC1" s="23">
        <v>45773</v>
      </c>
      <c r="AD1" s="23">
        <v>45774</v>
      </c>
      <c r="AE1" s="24">
        <v>45775</v>
      </c>
      <c r="AF1" s="24">
        <v>45776</v>
      </c>
      <c r="AG1" s="24">
        <v>45777</v>
      </c>
      <c r="AH1" s="31" t="s">
        <v>81</v>
      </c>
      <c r="AI1" s="32" t="s">
        <v>82</v>
      </c>
      <c r="AJ1" s="30"/>
    </row>
    <row r="2" spans="1:36">
      <c r="A2" s="16" t="s">
        <v>83</v>
      </c>
      <c r="B2" s="17" t="s">
        <v>84</v>
      </c>
      <c r="C2" s="19" t="s">
        <v>85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 t="s">
        <v>81</v>
      </c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6"/>
      <c r="AC2" s="35"/>
      <c r="AD2" s="35"/>
      <c r="AE2" s="35" t="s">
        <v>82</v>
      </c>
      <c r="AF2" s="36" t="s">
        <v>81</v>
      </c>
      <c r="AG2" s="36" t="s">
        <v>81</v>
      </c>
      <c r="AH2" s="33">
        <f>COUNTIF(D2:AG2,"Leave")</f>
        <v>3</v>
      </c>
      <c r="AI2" s="34">
        <f t="shared" ref="AI2" si="0">COUNTIF(A2:AH2,"WFH")</f>
        <v>1</v>
      </c>
    </row>
    <row r="3" spans="1:36">
      <c r="A3" s="7" t="s">
        <v>21</v>
      </c>
      <c r="B3" s="1" t="s">
        <v>22</v>
      </c>
      <c r="C3" s="20" t="s">
        <v>23</v>
      </c>
      <c r="D3" s="35"/>
      <c r="E3" s="35"/>
      <c r="F3" s="35" t="s">
        <v>82</v>
      </c>
      <c r="G3" s="35"/>
      <c r="H3" s="35"/>
      <c r="I3" s="35"/>
      <c r="J3" s="35"/>
      <c r="K3" s="35" t="s">
        <v>82</v>
      </c>
      <c r="L3" s="35" t="s">
        <v>82</v>
      </c>
      <c r="M3" s="35" t="s">
        <v>81</v>
      </c>
      <c r="N3" s="35" t="s">
        <v>82</v>
      </c>
      <c r="O3" s="35"/>
      <c r="P3" s="35"/>
      <c r="Q3" s="35"/>
      <c r="R3" s="35" t="s">
        <v>82</v>
      </c>
      <c r="S3" s="35"/>
      <c r="T3" s="35"/>
      <c r="U3" s="35"/>
      <c r="V3" s="35"/>
      <c r="W3" s="35"/>
      <c r="X3" s="35" t="s">
        <v>82</v>
      </c>
      <c r="Y3" s="35" t="s">
        <v>82</v>
      </c>
      <c r="Z3" s="35"/>
      <c r="AA3" s="35"/>
      <c r="AB3" s="35" t="s">
        <v>82</v>
      </c>
      <c r="AC3" s="35"/>
      <c r="AD3" s="35"/>
      <c r="AE3" s="35"/>
      <c r="AF3" s="36"/>
      <c r="AG3" s="35"/>
      <c r="AH3" s="33">
        <f t="shared" ref="AH3:AH23" si="1">COUNTIF(D3:AG3,"Leave")</f>
        <v>1</v>
      </c>
      <c r="AI3" s="34">
        <f t="shared" ref="AI3:AI23" si="2">COUNTIF(A3:AH3,"WFH")</f>
        <v>8</v>
      </c>
    </row>
    <row r="4" spans="1:36" ht="15.75">
      <c r="A4" s="7" t="s">
        <v>24</v>
      </c>
      <c r="B4" s="2" t="s">
        <v>25</v>
      </c>
      <c r="C4" s="20" t="s">
        <v>26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5"/>
      <c r="AD4" s="35"/>
      <c r="AE4" s="35"/>
      <c r="AF4" s="36"/>
      <c r="AG4" s="35"/>
      <c r="AH4" s="33">
        <f t="shared" si="1"/>
        <v>0</v>
      </c>
      <c r="AI4" s="34">
        <f t="shared" si="2"/>
        <v>0</v>
      </c>
    </row>
    <row r="5" spans="1:36" ht="15.75">
      <c r="A5" s="7" t="s">
        <v>86</v>
      </c>
      <c r="B5" s="2" t="s">
        <v>87</v>
      </c>
      <c r="C5" s="20" t="s">
        <v>88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81</v>
      </c>
      <c r="U5" s="35" t="s">
        <v>81</v>
      </c>
      <c r="V5" s="35"/>
      <c r="W5" s="35"/>
      <c r="X5" s="35"/>
      <c r="Y5" s="35"/>
      <c r="Z5" s="35"/>
      <c r="AA5" s="35"/>
      <c r="AB5" s="36"/>
      <c r="AC5" s="35"/>
      <c r="AD5" s="35"/>
      <c r="AE5" s="35"/>
      <c r="AF5" s="36"/>
      <c r="AG5" s="35"/>
      <c r="AH5" s="33">
        <f t="shared" si="1"/>
        <v>2</v>
      </c>
      <c r="AI5" s="34">
        <f t="shared" si="2"/>
        <v>0</v>
      </c>
    </row>
    <row r="6" spans="1:36" ht="15.75">
      <c r="A6" s="7" t="s">
        <v>89</v>
      </c>
      <c r="B6" s="3" t="s">
        <v>90</v>
      </c>
      <c r="C6" s="20" t="s">
        <v>91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/>
      <c r="AD6" s="35"/>
      <c r="AE6" s="35"/>
      <c r="AF6" s="36"/>
      <c r="AG6" s="35"/>
      <c r="AH6" s="33">
        <f t="shared" si="1"/>
        <v>0</v>
      </c>
      <c r="AI6" s="34">
        <f t="shared" si="2"/>
        <v>0</v>
      </c>
    </row>
    <row r="7" spans="1:36">
      <c r="A7" s="10" t="s">
        <v>92</v>
      </c>
      <c r="B7" s="4" t="s">
        <v>93</v>
      </c>
      <c r="C7" s="21" t="s">
        <v>94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81</v>
      </c>
      <c r="AB7" s="36"/>
      <c r="AC7" s="35"/>
      <c r="AD7" s="35"/>
      <c r="AE7" s="35" t="s">
        <v>82</v>
      </c>
      <c r="AF7" s="36"/>
      <c r="AG7" s="35"/>
      <c r="AH7" s="33">
        <f t="shared" si="1"/>
        <v>1</v>
      </c>
      <c r="AI7" s="34">
        <f t="shared" si="2"/>
        <v>1</v>
      </c>
    </row>
    <row r="8" spans="1:36" ht="15.75">
      <c r="A8" s="7" t="s">
        <v>95</v>
      </c>
      <c r="B8" s="3" t="s">
        <v>96</v>
      </c>
      <c r="C8" s="22" t="s">
        <v>97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/>
      <c r="AD8" s="35"/>
      <c r="AE8" s="35"/>
      <c r="AF8" s="36"/>
      <c r="AG8" s="35"/>
      <c r="AH8" s="33">
        <f t="shared" si="1"/>
        <v>0</v>
      </c>
      <c r="AI8" s="34">
        <f t="shared" si="2"/>
        <v>0</v>
      </c>
    </row>
    <row r="9" spans="1:36" ht="16.5" customHeight="1">
      <c r="A9" s="7" t="s">
        <v>98</v>
      </c>
      <c r="B9" s="5" t="s">
        <v>99</v>
      </c>
      <c r="C9" s="22" t="s">
        <v>100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/>
      <c r="AD9" s="35"/>
      <c r="AE9" s="35"/>
      <c r="AF9" s="36"/>
      <c r="AG9" s="35"/>
      <c r="AH9" s="33">
        <f t="shared" si="1"/>
        <v>0</v>
      </c>
      <c r="AI9" s="34">
        <f t="shared" si="2"/>
        <v>0</v>
      </c>
    </row>
    <row r="10" spans="1:36" s="6" customFormat="1" ht="15" customHeight="1">
      <c r="A10" s="7" t="s">
        <v>101</v>
      </c>
      <c r="B10" s="1" t="s">
        <v>102</v>
      </c>
      <c r="C10" s="22" t="s">
        <v>103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126" t="s">
        <v>115</v>
      </c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8"/>
      <c r="AH10" s="33">
        <f t="shared" si="1"/>
        <v>0</v>
      </c>
      <c r="AI10" s="34">
        <f t="shared" si="2"/>
        <v>0</v>
      </c>
    </row>
    <row r="11" spans="1:36">
      <c r="A11" s="7" t="s">
        <v>27</v>
      </c>
      <c r="B11" s="1" t="s">
        <v>28</v>
      </c>
      <c r="C11" s="22" t="s">
        <v>29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/>
      <c r="AD11" s="35"/>
      <c r="AE11" s="35"/>
      <c r="AF11" s="36"/>
      <c r="AG11" s="35"/>
      <c r="AH11" s="33">
        <f t="shared" si="1"/>
        <v>0</v>
      </c>
      <c r="AI11" s="34">
        <f t="shared" si="2"/>
        <v>0</v>
      </c>
    </row>
    <row r="12" spans="1:36">
      <c r="A12" s="7" t="s">
        <v>30</v>
      </c>
      <c r="B12" s="1" t="s">
        <v>31</v>
      </c>
      <c r="C12" s="22" t="s">
        <v>29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/>
      <c r="AD12" s="35"/>
      <c r="AE12" s="35"/>
      <c r="AF12" s="36"/>
      <c r="AG12" s="35"/>
      <c r="AH12" s="33">
        <f t="shared" si="1"/>
        <v>0</v>
      </c>
      <c r="AI12" s="34">
        <f t="shared" si="2"/>
        <v>0</v>
      </c>
    </row>
    <row r="13" spans="1:36">
      <c r="A13" s="11" t="s">
        <v>32</v>
      </c>
      <c r="B13" s="1" t="s">
        <v>33</v>
      </c>
      <c r="C13" s="22" t="s">
        <v>34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/>
      <c r="AD13" s="35"/>
      <c r="AE13" s="35"/>
      <c r="AF13" s="36"/>
      <c r="AG13" s="35"/>
      <c r="AH13" s="33">
        <f t="shared" si="1"/>
        <v>0</v>
      </c>
      <c r="AI13" s="34">
        <f t="shared" si="2"/>
        <v>0</v>
      </c>
    </row>
    <row r="14" spans="1:36">
      <c r="A14" s="12" t="s">
        <v>35</v>
      </c>
      <c r="B14" s="1" t="s">
        <v>36</v>
      </c>
      <c r="C14" s="22" t="s">
        <v>37</v>
      </c>
      <c r="D14" s="35" t="s">
        <v>81</v>
      </c>
      <c r="E14" s="35" t="s">
        <v>81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/>
      <c r="AD14" s="35"/>
      <c r="AE14" s="35"/>
      <c r="AF14" s="36"/>
      <c r="AG14" s="35"/>
      <c r="AH14" s="33">
        <f t="shared" si="1"/>
        <v>2</v>
      </c>
      <c r="AI14" s="34">
        <f t="shared" si="2"/>
        <v>0</v>
      </c>
    </row>
    <row r="15" spans="1:36" ht="16.5">
      <c r="A15" s="13" t="s">
        <v>104</v>
      </c>
      <c r="B15" s="9" t="s">
        <v>105</v>
      </c>
      <c r="C15" s="22" t="s">
        <v>106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35"/>
      <c r="AD15" s="35"/>
      <c r="AE15" s="35"/>
      <c r="AF15" s="36"/>
      <c r="AG15" s="35"/>
      <c r="AH15" s="33">
        <f t="shared" si="1"/>
        <v>0</v>
      </c>
      <c r="AI15" s="34">
        <f t="shared" si="2"/>
        <v>0</v>
      </c>
    </row>
    <row r="16" spans="1:36">
      <c r="A16" s="13" t="s">
        <v>107</v>
      </c>
      <c r="B16" s="1" t="s">
        <v>108</v>
      </c>
      <c r="C16" s="22" t="s">
        <v>106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 t="s">
        <v>81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6"/>
      <c r="AC16" s="35"/>
      <c r="AD16" s="35"/>
      <c r="AE16" s="35" t="s">
        <v>82</v>
      </c>
      <c r="AF16" s="36" t="s">
        <v>81</v>
      </c>
      <c r="AG16" s="35"/>
      <c r="AH16" s="33">
        <f t="shared" si="1"/>
        <v>2</v>
      </c>
      <c r="AI16" s="34">
        <f t="shared" si="2"/>
        <v>1</v>
      </c>
    </row>
    <row r="17" spans="1:35" ht="16.5">
      <c r="A17" s="13" t="s">
        <v>109</v>
      </c>
      <c r="B17" s="9" t="s">
        <v>110</v>
      </c>
      <c r="C17" s="22" t="s">
        <v>111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/>
      <c r="AD17" s="35"/>
      <c r="AE17" s="35"/>
      <c r="AF17" s="36"/>
      <c r="AG17" s="35"/>
      <c r="AH17" s="33">
        <f t="shared" si="1"/>
        <v>0</v>
      </c>
      <c r="AI17" s="34">
        <f t="shared" si="2"/>
        <v>0</v>
      </c>
    </row>
    <row r="18" spans="1:35">
      <c r="A18" s="14" t="s">
        <v>38</v>
      </c>
      <c r="B18" s="1" t="s">
        <v>39</v>
      </c>
      <c r="C18" s="27" t="s">
        <v>40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35"/>
      <c r="AD18" s="35"/>
      <c r="AE18" s="35"/>
      <c r="AF18" s="36"/>
      <c r="AG18" s="35"/>
      <c r="AH18" s="33">
        <f t="shared" si="1"/>
        <v>0</v>
      </c>
      <c r="AI18" s="34">
        <f t="shared" si="2"/>
        <v>0</v>
      </c>
    </row>
    <row r="19" spans="1:35">
      <c r="A19" s="14" t="s">
        <v>41</v>
      </c>
      <c r="B19" s="1" t="s">
        <v>42</v>
      </c>
      <c r="C19" s="22" t="s">
        <v>43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6"/>
      <c r="AC19" s="35"/>
      <c r="AD19" s="35"/>
      <c r="AE19" s="35"/>
      <c r="AF19" s="36"/>
      <c r="AG19" s="35"/>
      <c r="AH19" s="33">
        <f t="shared" si="1"/>
        <v>0</v>
      </c>
      <c r="AI19" s="34">
        <f t="shared" si="2"/>
        <v>0</v>
      </c>
    </row>
    <row r="20" spans="1:35">
      <c r="A20" s="14" t="s">
        <v>112</v>
      </c>
      <c r="B20" s="1" t="s">
        <v>113</v>
      </c>
      <c r="C20" s="22" t="s">
        <v>43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8"/>
      <c r="AD20" s="38"/>
      <c r="AE20" s="38"/>
      <c r="AF20" s="39"/>
      <c r="AG20" s="38"/>
      <c r="AH20" s="33">
        <f t="shared" si="1"/>
        <v>0</v>
      </c>
      <c r="AI20" s="34">
        <f t="shared" si="2"/>
        <v>0</v>
      </c>
    </row>
    <row r="21" spans="1:35">
      <c r="A21" s="8"/>
      <c r="B21" s="8" t="s">
        <v>55</v>
      </c>
      <c r="C21" s="8"/>
      <c r="D21" s="35"/>
      <c r="E21" s="35" t="s">
        <v>81</v>
      </c>
      <c r="F21" s="35" t="s">
        <v>81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3">
        <f t="shared" si="1"/>
        <v>2</v>
      </c>
      <c r="AI21" s="34">
        <f t="shared" si="2"/>
        <v>0</v>
      </c>
    </row>
    <row r="22" spans="1:35">
      <c r="A22" s="8"/>
      <c r="B22" s="8" t="s">
        <v>56</v>
      </c>
      <c r="C22" s="8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3">
        <f t="shared" si="1"/>
        <v>0</v>
      </c>
      <c r="AI22" s="34">
        <f t="shared" si="2"/>
        <v>0</v>
      </c>
    </row>
    <row r="23" spans="1:35">
      <c r="A23" s="8"/>
      <c r="B23" s="8" t="s">
        <v>58</v>
      </c>
      <c r="C23" s="8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3">
        <f t="shared" si="1"/>
        <v>0</v>
      </c>
      <c r="AI23" s="34">
        <f t="shared" si="2"/>
        <v>0</v>
      </c>
    </row>
    <row r="26" spans="1:35">
      <c r="B26" t="s">
        <v>114</v>
      </c>
      <c r="C26">
        <v>18</v>
      </c>
    </row>
  </sheetData>
  <mergeCells count="1">
    <mergeCell ref="R10:A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674B-B6F3-44F2-997E-302B70CF739F}">
  <dimension ref="A1:AK26"/>
  <sheetViews>
    <sheetView workbookViewId="0">
      <pane ySplit="1" topLeftCell="A12" activePane="bottomLeft" state="frozen"/>
      <selection pane="bottomLeft" activeCell="AD20" sqref="AD20"/>
    </sheetView>
  </sheetViews>
  <sheetFormatPr defaultRowHeight="15"/>
  <cols>
    <col min="2" max="2" width="25.7109375" bestFit="1" customWidth="1"/>
    <col min="3" max="3" width="16.140625" customWidth="1"/>
  </cols>
  <sheetData>
    <row r="1" spans="1:37" s="15" customFormat="1">
      <c r="A1" s="15" t="s">
        <v>0</v>
      </c>
      <c r="B1" s="15" t="s">
        <v>1</v>
      </c>
      <c r="C1" s="15" t="s">
        <v>2</v>
      </c>
      <c r="D1" s="24">
        <v>45778</v>
      </c>
      <c r="E1" s="24">
        <v>45779</v>
      </c>
      <c r="F1" s="23">
        <v>45780</v>
      </c>
      <c r="G1" s="23">
        <v>45781</v>
      </c>
      <c r="H1" s="24">
        <v>45782</v>
      </c>
      <c r="I1" s="24">
        <v>45783</v>
      </c>
      <c r="J1" s="24">
        <v>45784</v>
      </c>
      <c r="K1" s="24">
        <v>45785</v>
      </c>
      <c r="L1" s="24">
        <v>45786</v>
      </c>
      <c r="M1" s="23">
        <v>45787</v>
      </c>
      <c r="N1" s="23">
        <v>45788</v>
      </c>
      <c r="O1" s="24">
        <v>45789</v>
      </c>
      <c r="P1" s="24">
        <v>45790</v>
      </c>
      <c r="Q1" s="24">
        <v>45791</v>
      </c>
      <c r="R1" s="24">
        <v>45792</v>
      </c>
      <c r="S1" s="24">
        <v>45793</v>
      </c>
      <c r="T1" s="23">
        <v>45794</v>
      </c>
      <c r="U1" s="23">
        <v>45795</v>
      </c>
      <c r="V1" s="24">
        <v>45796</v>
      </c>
      <c r="W1" s="24">
        <v>45797</v>
      </c>
      <c r="X1" s="24">
        <v>45798</v>
      </c>
      <c r="Y1" s="24">
        <v>45799</v>
      </c>
      <c r="Z1" s="24">
        <v>45800</v>
      </c>
      <c r="AA1" s="23">
        <v>45801</v>
      </c>
      <c r="AB1" s="23">
        <v>45802</v>
      </c>
      <c r="AC1" s="24">
        <v>45803</v>
      </c>
      <c r="AD1" s="24">
        <v>45804</v>
      </c>
      <c r="AE1" s="24">
        <v>45805</v>
      </c>
      <c r="AF1" s="24">
        <v>45806</v>
      </c>
      <c r="AG1" s="24">
        <v>45807</v>
      </c>
      <c r="AH1" s="40">
        <v>45808</v>
      </c>
      <c r="AI1" s="31" t="s">
        <v>81</v>
      </c>
      <c r="AJ1" s="32" t="s">
        <v>82</v>
      </c>
      <c r="AK1" s="30"/>
    </row>
    <row r="2" spans="1:37">
      <c r="A2" s="16" t="s">
        <v>83</v>
      </c>
      <c r="B2" s="17" t="s">
        <v>84</v>
      </c>
      <c r="C2" s="19" t="s">
        <v>85</v>
      </c>
      <c r="D2" s="35"/>
      <c r="E2" s="35"/>
      <c r="F2" s="35"/>
      <c r="G2" s="35"/>
      <c r="H2" s="35"/>
      <c r="I2" s="35"/>
      <c r="J2" s="35"/>
      <c r="K2" s="126" t="s">
        <v>115</v>
      </c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8"/>
      <c r="AI2" s="33">
        <f>COUNTIF(D2:AH2,"Leave")</f>
        <v>0</v>
      </c>
      <c r="AJ2" s="34">
        <f>COUNTIF(A2:AH2,"WFH")</f>
        <v>0</v>
      </c>
    </row>
    <row r="3" spans="1:37">
      <c r="A3" s="7" t="s">
        <v>21</v>
      </c>
      <c r="B3" s="1" t="s">
        <v>22</v>
      </c>
      <c r="C3" s="20" t="s">
        <v>23</v>
      </c>
      <c r="D3" s="35"/>
      <c r="E3" s="35"/>
      <c r="F3" s="35"/>
      <c r="G3" s="35"/>
      <c r="H3" s="35"/>
      <c r="I3" s="35" t="s">
        <v>82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6"/>
      <c r="AG3" s="35"/>
      <c r="AH3" s="36"/>
      <c r="AI3" s="33">
        <f t="shared" ref="AI3:AI23" si="0">COUNTIF(D3:AG3,"Leave")</f>
        <v>0</v>
      </c>
      <c r="AJ3" s="34">
        <f t="shared" ref="AJ3:AJ23" si="1">COUNTIF(A3:AI3,"WFH")</f>
        <v>1</v>
      </c>
    </row>
    <row r="4" spans="1:37" ht="15.75">
      <c r="A4" s="7" t="s">
        <v>24</v>
      </c>
      <c r="B4" s="2" t="s">
        <v>25</v>
      </c>
      <c r="C4" s="20" t="s">
        <v>26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5"/>
      <c r="AD4" s="35"/>
      <c r="AE4" s="35"/>
      <c r="AF4" s="36"/>
      <c r="AG4" s="35"/>
      <c r="AH4" s="36"/>
      <c r="AI4" s="33">
        <f t="shared" si="0"/>
        <v>0</v>
      </c>
      <c r="AJ4" s="34">
        <f t="shared" si="1"/>
        <v>0</v>
      </c>
    </row>
    <row r="5" spans="1:37" ht="15.75">
      <c r="A5" s="7" t="s">
        <v>86</v>
      </c>
      <c r="B5" s="2" t="s">
        <v>87</v>
      </c>
      <c r="C5" s="20" t="s">
        <v>88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 t="s">
        <v>81</v>
      </c>
      <c r="X5" s="35"/>
      <c r="Y5" s="35"/>
      <c r="Z5" s="35"/>
      <c r="AA5" s="35"/>
      <c r="AB5" s="36"/>
      <c r="AC5" s="35"/>
      <c r="AD5" s="35"/>
      <c r="AE5" s="35"/>
      <c r="AF5" s="36"/>
      <c r="AG5" s="35"/>
      <c r="AH5" s="36"/>
      <c r="AI5" s="33">
        <f t="shared" si="0"/>
        <v>1</v>
      </c>
      <c r="AJ5" s="34">
        <f t="shared" si="1"/>
        <v>0</v>
      </c>
    </row>
    <row r="6" spans="1:37" ht="15.75">
      <c r="A6" s="7" t="s">
        <v>89</v>
      </c>
      <c r="B6" s="3" t="s">
        <v>90</v>
      </c>
      <c r="C6" s="20" t="s">
        <v>91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/>
      <c r="AD6" s="35"/>
      <c r="AE6" s="35"/>
      <c r="AF6" s="36"/>
      <c r="AG6" s="35"/>
      <c r="AH6" s="36"/>
      <c r="AI6" s="33">
        <f t="shared" si="0"/>
        <v>0</v>
      </c>
      <c r="AJ6" s="34">
        <f t="shared" si="1"/>
        <v>0</v>
      </c>
    </row>
    <row r="7" spans="1:37">
      <c r="A7" s="10" t="s">
        <v>92</v>
      </c>
      <c r="B7" s="4" t="s">
        <v>93</v>
      </c>
      <c r="C7" s="21" t="s">
        <v>94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/>
      <c r="AD7" s="35"/>
      <c r="AE7" s="35"/>
      <c r="AF7" s="36"/>
      <c r="AG7" s="35"/>
      <c r="AH7" s="36"/>
      <c r="AI7" s="33">
        <f t="shared" si="0"/>
        <v>0</v>
      </c>
      <c r="AJ7" s="34">
        <f t="shared" si="1"/>
        <v>0</v>
      </c>
    </row>
    <row r="8" spans="1:37" ht="15.75">
      <c r="A8" s="7" t="s">
        <v>95</v>
      </c>
      <c r="B8" s="3" t="s">
        <v>96</v>
      </c>
      <c r="C8" s="22" t="s">
        <v>97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/>
      <c r="AD8" s="35"/>
      <c r="AE8" s="35"/>
      <c r="AF8" s="36"/>
      <c r="AG8" s="35"/>
      <c r="AH8" s="36"/>
      <c r="AI8" s="33">
        <f t="shared" si="0"/>
        <v>0</v>
      </c>
      <c r="AJ8" s="34">
        <f t="shared" si="1"/>
        <v>0</v>
      </c>
    </row>
    <row r="9" spans="1:37" ht="16.5" customHeight="1">
      <c r="A9" s="7" t="s">
        <v>98</v>
      </c>
      <c r="B9" s="5" t="s">
        <v>99</v>
      </c>
      <c r="C9" s="22" t="s">
        <v>100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/>
      <c r="AD9" s="35"/>
      <c r="AE9" s="35"/>
      <c r="AF9" s="36"/>
      <c r="AG9" s="35"/>
      <c r="AH9" s="36"/>
      <c r="AI9" s="33">
        <f t="shared" si="0"/>
        <v>0</v>
      </c>
      <c r="AJ9" s="34">
        <f t="shared" si="1"/>
        <v>0</v>
      </c>
    </row>
    <row r="10" spans="1:37">
      <c r="A10" s="7" t="s">
        <v>27</v>
      </c>
      <c r="B10" s="1" t="s">
        <v>28</v>
      </c>
      <c r="C10" s="22" t="s">
        <v>29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/>
      <c r="AD10" s="35"/>
      <c r="AE10" s="35"/>
      <c r="AF10" s="36"/>
      <c r="AG10" s="35"/>
      <c r="AH10" s="36"/>
      <c r="AI10" s="33">
        <f t="shared" si="0"/>
        <v>0</v>
      </c>
      <c r="AJ10" s="34">
        <f t="shared" si="1"/>
        <v>0</v>
      </c>
    </row>
    <row r="11" spans="1:37">
      <c r="A11" s="7" t="s">
        <v>30</v>
      </c>
      <c r="B11" s="1" t="s">
        <v>31</v>
      </c>
      <c r="C11" s="22" t="s">
        <v>29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/>
      <c r="AD11" s="35"/>
      <c r="AE11" s="35"/>
      <c r="AF11" s="36"/>
      <c r="AG11" s="35"/>
      <c r="AH11" s="36"/>
      <c r="AI11" s="33">
        <f t="shared" si="0"/>
        <v>0</v>
      </c>
      <c r="AJ11" s="34">
        <f t="shared" si="1"/>
        <v>0</v>
      </c>
    </row>
    <row r="12" spans="1:37">
      <c r="A12" s="11" t="s">
        <v>32</v>
      </c>
      <c r="B12" s="1" t="s">
        <v>33</v>
      </c>
      <c r="C12" s="22" t="s">
        <v>34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/>
      <c r="AD12" s="35"/>
      <c r="AE12" s="35"/>
      <c r="AF12" s="36"/>
      <c r="AG12" s="35"/>
      <c r="AH12" s="36"/>
      <c r="AI12" s="33">
        <f t="shared" si="0"/>
        <v>0</v>
      </c>
      <c r="AJ12" s="34">
        <f t="shared" si="1"/>
        <v>0</v>
      </c>
    </row>
    <row r="13" spans="1:37">
      <c r="A13" s="12" t="s">
        <v>35</v>
      </c>
      <c r="B13" s="1" t="s">
        <v>36</v>
      </c>
      <c r="C13" s="22" t="s">
        <v>37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/>
      <c r="AD13" s="35"/>
      <c r="AE13" s="35"/>
      <c r="AF13" s="36"/>
      <c r="AG13" s="35"/>
      <c r="AH13" s="36"/>
      <c r="AI13" s="33">
        <f t="shared" si="0"/>
        <v>0</v>
      </c>
      <c r="AJ13" s="34">
        <f t="shared" si="1"/>
        <v>0</v>
      </c>
    </row>
    <row r="14" spans="1:37">
      <c r="A14" s="13" t="s">
        <v>104</v>
      </c>
      <c r="B14" s="41" t="s">
        <v>105</v>
      </c>
      <c r="C14" s="22" t="s">
        <v>106</v>
      </c>
      <c r="D14" s="35"/>
      <c r="E14" s="35"/>
      <c r="F14" s="35"/>
      <c r="G14" s="35"/>
      <c r="H14" s="35"/>
      <c r="I14" s="35"/>
      <c r="J14" s="35"/>
      <c r="K14" s="126" t="s">
        <v>115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8"/>
      <c r="AI14" s="33">
        <f t="shared" si="0"/>
        <v>0</v>
      </c>
      <c r="AJ14" s="34">
        <f t="shared" si="1"/>
        <v>0</v>
      </c>
    </row>
    <row r="15" spans="1:37">
      <c r="A15" s="13" t="s">
        <v>107</v>
      </c>
      <c r="B15" s="1" t="s">
        <v>108</v>
      </c>
      <c r="C15" s="22" t="s">
        <v>106</v>
      </c>
      <c r="D15" s="35"/>
      <c r="E15" s="35"/>
      <c r="F15" s="35"/>
      <c r="G15" s="35"/>
      <c r="H15" s="35"/>
      <c r="I15" s="35"/>
      <c r="J15" s="35"/>
      <c r="K15" s="35" t="s">
        <v>81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126" t="s">
        <v>115</v>
      </c>
      <c r="AC15" s="127"/>
      <c r="AD15" s="127"/>
      <c r="AE15" s="127"/>
      <c r="AF15" s="127"/>
      <c r="AG15" s="127"/>
      <c r="AH15" s="128"/>
      <c r="AI15" s="33">
        <f t="shared" si="0"/>
        <v>1</v>
      </c>
      <c r="AJ15" s="34">
        <f t="shared" si="1"/>
        <v>0</v>
      </c>
    </row>
    <row r="16" spans="1:37">
      <c r="A16" s="13" t="s">
        <v>109</v>
      </c>
      <c r="B16" s="41" t="s">
        <v>110</v>
      </c>
      <c r="C16" s="22" t="s">
        <v>111</v>
      </c>
      <c r="D16" s="35"/>
      <c r="E16" s="35"/>
      <c r="F16" s="35"/>
      <c r="G16" s="35"/>
      <c r="H16" s="35"/>
      <c r="I16" s="35"/>
      <c r="J16" s="35"/>
      <c r="K16" s="126" t="s">
        <v>115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8"/>
      <c r="AI16" s="33">
        <f t="shared" si="0"/>
        <v>0</v>
      </c>
      <c r="AJ16" s="34">
        <f t="shared" si="1"/>
        <v>0</v>
      </c>
    </row>
    <row r="17" spans="1:36">
      <c r="A17" s="14" t="s">
        <v>38</v>
      </c>
      <c r="B17" s="1" t="s">
        <v>39</v>
      </c>
      <c r="C17" s="27" t="s">
        <v>40</v>
      </c>
      <c r="D17" s="35"/>
      <c r="E17" s="35" t="s">
        <v>81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35"/>
      <c r="AD17" s="35"/>
      <c r="AE17" s="35"/>
      <c r="AF17" s="36"/>
      <c r="AG17" s="35"/>
      <c r="AH17" s="36"/>
      <c r="AI17" s="33">
        <f t="shared" si="0"/>
        <v>1</v>
      </c>
      <c r="AJ17" s="34">
        <f t="shared" si="1"/>
        <v>0</v>
      </c>
    </row>
    <row r="18" spans="1:36">
      <c r="A18" s="14" t="s">
        <v>41</v>
      </c>
      <c r="B18" s="1" t="s">
        <v>42</v>
      </c>
      <c r="C18" s="22" t="s">
        <v>43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35"/>
      <c r="AD18" s="35"/>
      <c r="AE18" s="35"/>
      <c r="AF18" s="36"/>
      <c r="AG18" s="35"/>
      <c r="AH18" s="36"/>
      <c r="AI18" s="33">
        <f t="shared" si="0"/>
        <v>0</v>
      </c>
      <c r="AJ18" s="34">
        <f t="shared" si="1"/>
        <v>0</v>
      </c>
    </row>
    <row r="19" spans="1:36">
      <c r="A19" s="14" t="s">
        <v>112</v>
      </c>
      <c r="B19" s="1" t="s">
        <v>113</v>
      </c>
      <c r="C19" s="22" t="s">
        <v>43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9"/>
      <c r="AC19" s="38"/>
      <c r="AD19" s="38"/>
      <c r="AE19" s="38"/>
      <c r="AF19" s="39"/>
      <c r="AG19" s="38"/>
      <c r="AH19" s="39"/>
      <c r="AI19" s="33">
        <f t="shared" si="0"/>
        <v>0</v>
      </c>
      <c r="AJ19" s="34">
        <f t="shared" si="1"/>
        <v>0</v>
      </c>
    </row>
    <row r="20" spans="1:36">
      <c r="A20" s="14" t="s">
        <v>44</v>
      </c>
      <c r="B20" s="1" t="s">
        <v>45</v>
      </c>
      <c r="C20" s="22" t="s">
        <v>116</v>
      </c>
      <c r="D20" s="38"/>
      <c r="E20" s="38"/>
      <c r="F20" s="38"/>
      <c r="G20" s="38"/>
      <c r="H20" s="38" t="s">
        <v>81</v>
      </c>
      <c r="I20" s="38" t="s">
        <v>81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8"/>
      <c r="AD20" s="38"/>
      <c r="AE20" s="38"/>
      <c r="AF20" s="39"/>
      <c r="AG20" s="38"/>
      <c r="AH20" s="39"/>
      <c r="AI20" s="33">
        <f t="shared" ref="AI20" si="2">COUNTIF(D20:AG20,"Leave")</f>
        <v>2</v>
      </c>
      <c r="AJ20" s="34">
        <f t="shared" ref="AJ20" si="3">COUNTIF(A20:AI20,"WFH")</f>
        <v>0</v>
      </c>
    </row>
    <row r="21" spans="1:36">
      <c r="A21" s="8"/>
      <c r="B21" s="8" t="s">
        <v>55</v>
      </c>
      <c r="C21" s="8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6"/>
      <c r="AI21" s="33">
        <f t="shared" si="0"/>
        <v>0</v>
      </c>
      <c r="AJ21" s="34">
        <f t="shared" si="1"/>
        <v>0</v>
      </c>
    </row>
    <row r="22" spans="1:36">
      <c r="A22" s="8"/>
      <c r="B22" s="8" t="s">
        <v>56</v>
      </c>
      <c r="C22" s="8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6"/>
      <c r="AI22" s="33">
        <f t="shared" si="0"/>
        <v>0</v>
      </c>
      <c r="AJ22" s="34">
        <f t="shared" si="1"/>
        <v>0</v>
      </c>
    </row>
    <row r="23" spans="1:36">
      <c r="A23" s="8"/>
      <c r="B23" s="8" t="s">
        <v>58</v>
      </c>
      <c r="C23" s="8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6"/>
      <c r="AI23" s="33">
        <f t="shared" si="0"/>
        <v>0</v>
      </c>
      <c r="AJ23" s="34">
        <f t="shared" si="1"/>
        <v>0</v>
      </c>
    </row>
    <row r="26" spans="1:36">
      <c r="B26" t="s">
        <v>114</v>
      </c>
      <c r="C26">
        <v>18</v>
      </c>
    </row>
  </sheetData>
  <mergeCells count="4">
    <mergeCell ref="K2:AH2"/>
    <mergeCell ref="K16:AH16"/>
    <mergeCell ref="K14:AH14"/>
    <mergeCell ref="AB15:AH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88DD-8BA1-4452-AD34-3CF25732F72E}">
  <dimension ref="A1:AJ31"/>
  <sheetViews>
    <sheetView workbookViewId="0">
      <pane ySplit="1" topLeftCell="P3" activePane="bottomLeft" state="frozen"/>
      <selection pane="bottomLeft" activeCell="AF18" sqref="AF18"/>
    </sheetView>
  </sheetViews>
  <sheetFormatPr defaultRowHeight="15"/>
  <cols>
    <col min="2" max="2" width="25.7109375" bestFit="1" customWidth="1"/>
    <col min="3" max="3" width="16.140625" customWidth="1"/>
  </cols>
  <sheetData>
    <row r="1" spans="1:36" s="15" customFormat="1">
      <c r="A1" s="15" t="s">
        <v>0</v>
      </c>
      <c r="B1" s="15" t="s">
        <v>1</v>
      </c>
      <c r="C1" s="15" t="s">
        <v>2</v>
      </c>
      <c r="D1" s="23">
        <v>45809</v>
      </c>
      <c r="E1" s="24">
        <v>45810</v>
      </c>
      <c r="F1" s="24">
        <v>45811</v>
      </c>
      <c r="G1" s="24">
        <v>45812</v>
      </c>
      <c r="H1" s="24">
        <v>45813</v>
      </c>
      <c r="I1" s="24">
        <v>45814</v>
      </c>
      <c r="J1" s="23">
        <v>45815</v>
      </c>
      <c r="K1" s="23">
        <v>45816</v>
      </c>
      <c r="L1" s="24">
        <v>45817</v>
      </c>
      <c r="M1" s="24">
        <v>45818</v>
      </c>
      <c r="N1" s="24">
        <v>45819</v>
      </c>
      <c r="O1" s="24">
        <v>45820</v>
      </c>
      <c r="P1" s="24">
        <v>45821</v>
      </c>
      <c r="Q1" s="23">
        <v>45822</v>
      </c>
      <c r="R1" s="23">
        <v>45823</v>
      </c>
      <c r="S1" s="24">
        <v>45824</v>
      </c>
      <c r="T1" s="24">
        <v>45825</v>
      </c>
      <c r="U1" s="24">
        <v>45826</v>
      </c>
      <c r="V1" s="24">
        <v>45827</v>
      </c>
      <c r="W1" s="24">
        <v>45828</v>
      </c>
      <c r="X1" s="23">
        <v>45829</v>
      </c>
      <c r="Y1" s="23">
        <v>45830</v>
      </c>
      <c r="Z1" s="24">
        <v>45831</v>
      </c>
      <c r="AA1" s="24">
        <v>45832</v>
      </c>
      <c r="AB1" s="24">
        <v>45833</v>
      </c>
      <c r="AC1" s="24">
        <v>45834</v>
      </c>
      <c r="AD1" s="24">
        <v>45835</v>
      </c>
      <c r="AE1" s="23">
        <v>45836</v>
      </c>
      <c r="AF1" s="23">
        <v>45837</v>
      </c>
      <c r="AG1" s="24">
        <v>45838</v>
      </c>
      <c r="AH1" s="31" t="s">
        <v>81</v>
      </c>
      <c r="AI1" s="32" t="s">
        <v>82</v>
      </c>
      <c r="AJ1" s="30"/>
    </row>
    <row r="2" spans="1:36">
      <c r="A2" s="7" t="s">
        <v>21</v>
      </c>
      <c r="B2" s="1" t="s">
        <v>22</v>
      </c>
      <c r="C2" s="20" t="s">
        <v>23</v>
      </c>
      <c r="D2" s="35"/>
      <c r="E2" s="35"/>
      <c r="F2" s="35"/>
      <c r="G2" s="35"/>
      <c r="H2" s="35" t="s">
        <v>81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6"/>
      <c r="AG2" s="35"/>
      <c r="AH2" s="33">
        <f t="shared" ref="AH2:AH21" si="0">COUNTIF(D2:AG2,"Leave")</f>
        <v>1</v>
      </c>
      <c r="AI2" s="34">
        <f t="shared" ref="AI2:AI21" si="1">COUNTIF(A2:AH2,"WFH")</f>
        <v>0</v>
      </c>
    </row>
    <row r="3" spans="1:36" ht="15.75">
      <c r="A3" s="7" t="s">
        <v>24</v>
      </c>
      <c r="B3" s="2" t="s">
        <v>25</v>
      </c>
      <c r="C3" s="20" t="s">
        <v>26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/>
      <c r="AD3" s="35"/>
      <c r="AE3" s="35"/>
      <c r="AF3" s="36"/>
      <c r="AG3" s="35"/>
      <c r="AH3" s="33">
        <f t="shared" si="0"/>
        <v>0</v>
      </c>
      <c r="AI3" s="34">
        <f t="shared" si="1"/>
        <v>0</v>
      </c>
    </row>
    <row r="4" spans="1:36" ht="15.75">
      <c r="A4" s="7" t="s">
        <v>86</v>
      </c>
      <c r="B4" s="2" t="s">
        <v>87</v>
      </c>
      <c r="C4" s="20" t="s">
        <v>88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35"/>
      <c r="AD4" s="35"/>
      <c r="AE4" s="35"/>
      <c r="AF4" s="36"/>
      <c r="AG4" s="35"/>
      <c r="AH4" s="33">
        <f t="shared" si="0"/>
        <v>0</v>
      </c>
      <c r="AI4" s="34">
        <f t="shared" si="1"/>
        <v>0</v>
      </c>
    </row>
    <row r="5" spans="1:36" ht="15.75">
      <c r="A5" s="7" t="s">
        <v>89</v>
      </c>
      <c r="B5" s="3" t="s">
        <v>90</v>
      </c>
      <c r="C5" s="20" t="s">
        <v>91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35"/>
      <c r="AD5" s="35"/>
      <c r="AE5" s="35"/>
      <c r="AF5" s="36"/>
      <c r="AG5" s="35"/>
      <c r="AH5" s="33">
        <f t="shared" si="0"/>
        <v>0</v>
      </c>
      <c r="AI5" s="34">
        <f t="shared" si="1"/>
        <v>0</v>
      </c>
    </row>
    <row r="6" spans="1:36">
      <c r="A6" s="10" t="s">
        <v>92</v>
      </c>
      <c r="B6" s="4" t="s">
        <v>93</v>
      </c>
      <c r="C6" s="21" t="s">
        <v>94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26" t="s">
        <v>115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8"/>
      <c r="AH6" s="33">
        <f t="shared" si="0"/>
        <v>0</v>
      </c>
      <c r="AI6" s="34">
        <f t="shared" si="1"/>
        <v>0</v>
      </c>
    </row>
    <row r="7" spans="1:36" ht="15.75">
      <c r="A7" s="7" t="s">
        <v>95</v>
      </c>
      <c r="B7" s="3" t="s">
        <v>96</v>
      </c>
      <c r="C7" s="22" t="s">
        <v>97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/>
      <c r="AD7" s="35"/>
      <c r="AE7" s="35"/>
      <c r="AF7" s="36"/>
      <c r="AG7" s="35"/>
      <c r="AH7" s="33">
        <f t="shared" si="0"/>
        <v>0</v>
      </c>
      <c r="AI7" s="34">
        <f t="shared" si="1"/>
        <v>0</v>
      </c>
    </row>
    <row r="8" spans="1:36" ht="16.5" customHeight="1">
      <c r="A8" s="7" t="s">
        <v>98</v>
      </c>
      <c r="B8" s="5" t="s">
        <v>99</v>
      </c>
      <c r="C8" s="22" t="s">
        <v>100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/>
      <c r="AD8" s="35"/>
      <c r="AE8" s="35"/>
      <c r="AF8" s="36"/>
      <c r="AG8" s="35"/>
      <c r="AH8" s="33">
        <f t="shared" si="0"/>
        <v>0</v>
      </c>
      <c r="AI8" s="34">
        <f t="shared" si="1"/>
        <v>0</v>
      </c>
    </row>
    <row r="9" spans="1:36">
      <c r="A9" s="7" t="s">
        <v>27</v>
      </c>
      <c r="B9" s="1" t="s">
        <v>28</v>
      </c>
      <c r="C9" s="22" t="s">
        <v>29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 t="s">
        <v>81</v>
      </c>
      <c r="P9" s="35" t="s">
        <v>81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/>
      <c r="AD9" s="35"/>
      <c r="AE9" s="35"/>
      <c r="AF9" s="36"/>
      <c r="AG9" s="35"/>
      <c r="AH9" s="33">
        <f t="shared" si="0"/>
        <v>2</v>
      </c>
      <c r="AI9" s="34">
        <f t="shared" si="1"/>
        <v>0</v>
      </c>
    </row>
    <row r="10" spans="1:36">
      <c r="A10" s="7" t="s">
        <v>30</v>
      </c>
      <c r="B10" s="1" t="s">
        <v>31</v>
      </c>
      <c r="C10" s="22" t="s">
        <v>29</v>
      </c>
      <c r="D10" s="35"/>
      <c r="E10" s="35"/>
      <c r="F10" s="35"/>
      <c r="G10" s="35"/>
      <c r="H10" s="35"/>
      <c r="I10" s="35"/>
      <c r="J10" s="35"/>
      <c r="K10" s="35"/>
      <c r="L10" s="35" t="s">
        <v>81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/>
      <c r="AD10" s="35"/>
      <c r="AE10" s="35"/>
      <c r="AF10" s="36"/>
      <c r="AG10" s="35"/>
      <c r="AH10" s="33">
        <f t="shared" si="0"/>
        <v>1</v>
      </c>
      <c r="AI10" s="34">
        <f t="shared" si="1"/>
        <v>0</v>
      </c>
    </row>
    <row r="11" spans="1:36">
      <c r="A11" s="11" t="s">
        <v>32</v>
      </c>
      <c r="B11" s="1" t="s">
        <v>33</v>
      </c>
      <c r="C11" s="22" t="s">
        <v>34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35"/>
      <c r="AD11" s="35"/>
      <c r="AE11" s="35"/>
      <c r="AF11" s="36"/>
      <c r="AG11" s="35"/>
      <c r="AH11" s="33">
        <f t="shared" si="0"/>
        <v>0</v>
      </c>
      <c r="AI11" s="34">
        <f t="shared" si="1"/>
        <v>0</v>
      </c>
    </row>
    <row r="12" spans="1:36">
      <c r="A12" s="12" t="s">
        <v>35</v>
      </c>
      <c r="B12" s="1" t="s">
        <v>36</v>
      </c>
      <c r="C12" s="22" t="s">
        <v>37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35"/>
      <c r="AD12" s="35"/>
      <c r="AE12" s="35"/>
      <c r="AF12" s="36"/>
      <c r="AG12" s="35"/>
      <c r="AH12" s="42">
        <f t="shared" si="0"/>
        <v>0</v>
      </c>
      <c r="AI12" s="43">
        <f t="shared" si="1"/>
        <v>0</v>
      </c>
    </row>
    <row r="13" spans="1:36">
      <c r="A13" s="14" t="s">
        <v>38</v>
      </c>
      <c r="B13" s="1" t="s">
        <v>39</v>
      </c>
      <c r="C13" s="27" t="s">
        <v>40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35"/>
      <c r="AD13" s="35"/>
      <c r="AE13" s="35"/>
      <c r="AF13" s="36"/>
      <c r="AG13" s="36"/>
      <c r="AH13" s="34">
        <f t="shared" si="0"/>
        <v>0</v>
      </c>
      <c r="AI13" s="34">
        <f t="shared" si="1"/>
        <v>0</v>
      </c>
    </row>
    <row r="14" spans="1:36">
      <c r="A14" s="14" t="s">
        <v>41</v>
      </c>
      <c r="B14" s="1" t="s">
        <v>42</v>
      </c>
      <c r="C14" s="22" t="s">
        <v>43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 t="s">
        <v>81</v>
      </c>
      <c r="P14" s="35" t="s">
        <v>81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6"/>
      <c r="AC14" s="35"/>
      <c r="AD14" s="35"/>
      <c r="AE14" s="35"/>
      <c r="AF14" s="36"/>
      <c r="AG14" s="36"/>
      <c r="AH14" s="34">
        <f t="shared" si="0"/>
        <v>2</v>
      </c>
      <c r="AI14" s="34">
        <f t="shared" si="1"/>
        <v>0</v>
      </c>
    </row>
    <row r="15" spans="1:36">
      <c r="A15" s="14" t="s">
        <v>112</v>
      </c>
      <c r="B15" s="1" t="s">
        <v>113</v>
      </c>
      <c r="C15" s="22" t="s">
        <v>43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9"/>
      <c r="AC15" s="38"/>
      <c r="AD15" s="38"/>
      <c r="AE15" s="38"/>
      <c r="AF15" s="39"/>
      <c r="AG15" s="39"/>
      <c r="AH15" s="34">
        <f t="shared" si="0"/>
        <v>0</v>
      </c>
      <c r="AI15" s="34">
        <f t="shared" ref="AI15:AI18" si="2">COUNTIF(E15:AH15,"Leave")</f>
        <v>0</v>
      </c>
    </row>
    <row r="16" spans="1:36">
      <c r="A16" s="14" t="s">
        <v>44</v>
      </c>
      <c r="B16" s="1" t="s">
        <v>45</v>
      </c>
      <c r="C16" s="22" t="s">
        <v>46</v>
      </c>
      <c r="D16" s="38"/>
      <c r="E16" s="38"/>
      <c r="F16" s="38"/>
      <c r="G16" s="38"/>
      <c r="H16" s="38"/>
      <c r="I16" s="35" t="s">
        <v>81</v>
      </c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9"/>
      <c r="AC16" s="38"/>
      <c r="AD16" s="38"/>
      <c r="AE16" s="38"/>
      <c r="AF16" s="39"/>
      <c r="AG16" s="39"/>
      <c r="AH16" s="34">
        <f t="shared" ref="AH16:AI18" si="3">COUNTIF(D16:AG16,"Leave")</f>
        <v>1</v>
      </c>
      <c r="AI16" s="34">
        <f t="shared" si="2"/>
        <v>1</v>
      </c>
    </row>
    <row r="17" spans="1:35">
      <c r="A17" s="11" t="s">
        <v>47</v>
      </c>
      <c r="B17" s="1" t="s">
        <v>48</v>
      </c>
      <c r="C17" s="22" t="s">
        <v>49</v>
      </c>
      <c r="D17" s="44"/>
      <c r="E17" s="38"/>
      <c r="F17" s="38"/>
      <c r="G17" s="38"/>
      <c r="H17" s="38"/>
      <c r="I17" s="38"/>
      <c r="J17" s="38"/>
      <c r="K17" s="38"/>
      <c r="L17" s="38"/>
      <c r="M17" s="38"/>
      <c r="N17" s="38" t="s">
        <v>81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38"/>
      <c r="AD17" s="38"/>
      <c r="AE17" s="38"/>
      <c r="AF17" s="39"/>
      <c r="AG17" s="39"/>
      <c r="AH17" s="34">
        <f t="shared" si="3"/>
        <v>1</v>
      </c>
      <c r="AI17" s="34">
        <f t="shared" si="2"/>
        <v>1</v>
      </c>
    </row>
    <row r="18" spans="1:35">
      <c r="A18" s="1" t="s">
        <v>50</v>
      </c>
      <c r="B18" s="1" t="s">
        <v>51</v>
      </c>
      <c r="C18" s="22" t="s">
        <v>52</v>
      </c>
      <c r="D18" s="129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1"/>
      <c r="V18" s="38"/>
      <c r="W18" s="38"/>
      <c r="X18" s="38"/>
      <c r="Y18" s="38"/>
      <c r="Z18" s="38"/>
      <c r="AA18" s="38"/>
      <c r="AB18" s="39"/>
      <c r="AC18" s="38"/>
      <c r="AD18" s="38"/>
      <c r="AE18" s="38"/>
      <c r="AF18" s="39"/>
      <c r="AG18" s="39"/>
      <c r="AH18" s="34">
        <f t="shared" si="3"/>
        <v>0</v>
      </c>
      <c r="AI18" s="34">
        <f t="shared" si="2"/>
        <v>0</v>
      </c>
    </row>
    <row r="19" spans="1:35">
      <c r="A19" s="8"/>
      <c r="B19" s="8" t="s">
        <v>55</v>
      </c>
      <c r="C19" s="8"/>
      <c r="D19" s="35"/>
      <c r="E19" s="35"/>
      <c r="F19" s="35"/>
      <c r="G19" s="35"/>
      <c r="H19" s="35"/>
      <c r="I19" s="35" t="s">
        <v>81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6"/>
      <c r="AH19" s="34">
        <f t="shared" si="0"/>
        <v>1</v>
      </c>
      <c r="AI19" s="34">
        <f t="shared" si="1"/>
        <v>0</v>
      </c>
    </row>
    <row r="20" spans="1:35">
      <c r="A20" s="8"/>
      <c r="B20" s="8" t="s">
        <v>56</v>
      </c>
      <c r="C20" s="8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6"/>
      <c r="AH20" s="34">
        <f t="shared" si="0"/>
        <v>0</v>
      </c>
      <c r="AI20" s="34">
        <f t="shared" si="1"/>
        <v>0</v>
      </c>
    </row>
    <row r="21" spans="1:35">
      <c r="A21" s="28"/>
      <c r="B21" s="28" t="s">
        <v>58</v>
      </c>
      <c r="C21" s="2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H21" s="34">
        <f t="shared" si="0"/>
        <v>0</v>
      </c>
      <c r="AI21" s="34">
        <f t="shared" si="1"/>
        <v>0</v>
      </c>
    </row>
    <row r="22" spans="1:35">
      <c r="A22" s="8"/>
      <c r="B22" s="1" t="s">
        <v>60</v>
      </c>
      <c r="C22" s="1" t="s">
        <v>61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20"/>
      <c r="AH22" s="34">
        <f t="shared" ref="AH22:AH31" si="4">COUNTIF(D22:AG22,"Leave")</f>
        <v>0</v>
      </c>
      <c r="AI22" s="34">
        <f t="shared" ref="AI22:AI31" si="5">COUNTIF(A22:AH22,"WFH")</f>
        <v>0</v>
      </c>
    </row>
    <row r="23" spans="1:35">
      <c r="A23" s="8"/>
      <c r="B23" s="4" t="s">
        <v>117</v>
      </c>
      <c r="C23" s="4" t="s">
        <v>118</v>
      </c>
      <c r="D23" s="8"/>
      <c r="E23" s="8" t="s">
        <v>81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 t="s">
        <v>81</v>
      </c>
      <c r="AA23" s="8" t="s">
        <v>81</v>
      </c>
      <c r="AB23" s="8"/>
      <c r="AC23" s="8"/>
      <c r="AD23" s="8"/>
      <c r="AE23" s="8"/>
      <c r="AF23" s="8"/>
      <c r="AG23" s="20"/>
      <c r="AH23" s="34">
        <f t="shared" si="4"/>
        <v>3</v>
      </c>
      <c r="AI23" s="34">
        <f t="shared" si="5"/>
        <v>0</v>
      </c>
    </row>
    <row r="24" spans="1:35">
      <c r="A24" s="8"/>
      <c r="B24" s="1" t="s">
        <v>62</v>
      </c>
      <c r="C24" s="1" t="s">
        <v>63</v>
      </c>
      <c r="D24" s="44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20"/>
      <c r="AH24" s="34">
        <f t="shared" si="4"/>
        <v>0</v>
      </c>
      <c r="AI24" s="34">
        <f t="shared" si="5"/>
        <v>0</v>
      </c>
    </row>
    <row r="25" spans="1:35">
      <c r="A25" s="8"/>
      <c r="B25" s="1" t="s">
        <v>119</v>
      </c>
      <c r="C25" s="1" t="s">
        <v>63</v>
      </c>
      <c r="D25" s="4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26" t="s">
        <v>115</v>
      </c>
      <c r="AE25" s="127"/>
      <c r="AF25" s="127"/>
      <c r="AG25" s="127"/>
      <c r="AH25" s="34">
        <f t="shared" ref="AH25" si="6">COUNTIF(D25:AG25,"Leave")</f>
        <v>0</v>
      </c>
      <c r="AI25" s="34">
        <f t="shared" ref="AI25" si="7">COUNTIF(A25:AH25,"WFH")</f>
        <v>0</v>
      </c>
    </row>
    <row r="26" spans="1:35">
      <c r="A26" s="8"/>
      <c r="B26" s="1" t="s">
        <v>64</v>
      </c>
      <c r="C26" s="1" t="s">
        <v>63</v>
      </c>
      <c r="D26" s="44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 t="s">
        <v>81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20"/>
      <c r="AH26" s="34">
        <f t="shared" si="4"/>
        <v>1</v>
      </c>
      <c r="AI26" s="34">
        <f t="shared" si="5"/>
        <v>0</v>
      </c>
    </row>
    <row r="27" spans="1:35">
      <c r="A27" s="8"/>
      <c r="B27" s="1" t="s">
        <v>65</v>
      </c>
      <c r="C27" s="1" t="s">
        <v>63</v>
      </c>
      <c r="D27" s="44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 t="s">
        <v>81</v>
      </c>
      <c r="AE27" s="8"/>
      <c r="AF27" s="8"/>
      <c r="AG27" s="20"/>
      <c r="AH27" s="34">
        <f t="shared" si="4"/>
        <v>1</v>
      </c>
      <c r="AI27" s="34">
        <f t="shared" si="5"/>
        <v>0</v>
      </c>
    </row>
    <row r="28" spans="1:35">
      <c r="A28" s="8"/>
      <c r="B28" s="1" t="s">
        <v>66</v>
      </c>
      <c r="C28" s="1" t="s">
        <v>67</v>
      </c>
      <c r="D28" s="45"/>
      <c r="E28" s="46"/>
      <c r="F28" s="46"/>
      <c r="G28" s="4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20"/>
      <c r="AH28" s="34">
        <f t="shared" si="4"/>
        <v>0</v>
      </c>
      <c r="AI28" s="34">
        <f t="shared" si="5"/>
        <v>0</v>
      </c>
    </row>
    <row r="29" spans="1:35">
      <c r="A29" s="8"/>
      <c r="B29" s="1" t="s">
        <v>68</v>
      </c>
      <c r="C29" s="1" t="s">
        <v>67</v>
      </c>
      <c r="D29" s="45"/>
      <c r="E29" s="46"/>
      <c r="F29" s="46"/>
      <c r="G29" s="4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20"/>
      <c r="AH29" s="34">
        <f t="shared" si="4"/>
        <v>0</v>
      </c>
      <c r="AI29" s="34">
        <f t="shared" si="5"/>
        <v>0</v>
      </c>
    </row>
    <row r="30" spans="1:35">
      <c r="A30" s="8"/>
      <c r="B30" s="1" t="s">
        <v>69</v>
      </c>
      <c r="C30" s="1" t="s">
        <v>67</v>
      </c>
      <c r="D30" s="45"/>
      <c r="E30" s="46"/>
      <c r="F30" s="46"/>
      <c r="G30" s="4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20"/>
      <c r="AH30" s="34">
        <f t="shared" si="4"/>
        <v>0</v>
      </c>
      <c r="AI30" s="34">
        <f t="shared" si="5"/>
        <v>0</v>
      </c>
    </row>
    <row r="31" spans="1:35">
      <c r="A31" s="8"/>
      <c r="B31" s="1" t="s">
        <v>70</v>
      </c>
      <c r="C31" s="1" t="s">
        <v>71</v>
      </c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20"/>
      <c r="AH31" s="34">
        <f t="shared" si="4"/>
        <v>0</v>
      </c>
      <c r="AI31" s="34">
        <f t="shared" si="5"/>
        <v>0</v>
      </c>
    </row>
  </sheetData>
  <mergeCells count="4">
    <mergeCell ref="P6:AG6"/>
    <mergeCell ref="AD25:AG25"/>
    <mergeCell ref="D18:U18"/>
    <mergeCell ref="D31:U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0E53-6A6A-45FB-86D1-81165DD911DA}">
  <dimension ref="A1:AK30"/>
  <sheetViews>
    <sheetView workbookViewId="0">
      <pane ySplit="1" topLeftCell="R2" activePane="bottomLeft" state="frozen"/>
      <selection pane="bottomLeft" activeCell="AI17" sqref="AI17"/>
    </sheetView>
  </sheetViews>
  <sheetFormatPr defaultRowHeight="15"/>
  <cols>
    <col min="2" max="2" width="27.42578125" bestFit="1" customWidth="1"/>
    <col min="3" max="3" width="16.140625" customWidth="1"/>
  </cols>
  <sheetData>
    <row r="1" spans="1:37" s="15" customFormat="1">
      <c r="A1" s="15" t="s">
        <v>0</v>
      </c>
      <c r="B1" s="15" t="s">
        <v>1</v>
      </c>
      <c r="C1" s="15" t="s">
        <v>2</v>
      </c>
      <c r="D1" s="24">
        <v>45839</v>
      </c>
      <c r="E1" s="24">
        <v>45840</v>
      </c>
      <c r="F1" s="24">
        <v>45841</v>
      </c>
      <c r="G1" s="24">
        <v>45842</v>
      </c>
      <c r="H1" s="23">
        <v>45843</v>
      </c>
      <c r="I1" s="23">
        <v>45844</v>
      </c>
      <c r="J1" s="24">
        <v>45845</v>
      </c>
      <c r="K1" s="24">
        <v>45846</v>
      </c>
      <c r="L1" s="24">
        <v>45847</v>
      </c>
      <c r="M1" s="24">
        <v>45848</v>
      </c>
      <c r="N1" s="24">
        <v>45849</v>
      </c>
      <c r="O1" s="23">
        <v>45850</v>
      </c>
      <c r="P1" s="23">
        <v>45851</v>
      </c>
      <c r="Q1" s="24">
        <v>45852</v>
      </c>
      <c r="R1" s="24">
        <v>45853</v>
      </c>
      <c r="S1" s="24">
        <v>45854</v>
      </c>
      <c r="T1" s="24">
        <v>45855</v>
      </c>
      <c r="U1" s="24">
        <v>45856</v>
      </c>
      <c r="V1" s="23">
        <v>45857</v>
      </c>
      <c r="W1" s="23">
        <v>45858</v>
      </c>
      <c r="X1" s="24">
        <v>45859</v>
      </c>
      <c r="Y1" s="24">
        <v>45860</v>
      </c>
      <c r="Z1" s="24">
        <v>45861</v>
      </c>
      <c r="AA1" s="24">
        <v>45862</v>
      </c>
      <c r="AB1" s="24">
        <v>45863</v>
      </c>
      <c r="AC1" s="23">
        <v>45864</v>
      </c>
      <c r="AD1" s="23">
        <v>45865</v>
      </c>
      <c r="AE1" s="24">
        <v>45866</v>
      </c>
      <c r="AF1" s="24">
        <v>45867</v>
      </c>
      <c r="AG1" s="24">
        <v>45868</v>
      </c>
      <c r="AH1" s="24">
        <v>45869</v>
      </c>
      <c r="AI1" s="31" t="s">
        <v>81</v>
      </c>
      <c r="AJ1" s="32" t="s">
        <v>82</v>
      </c>
      <c r="AK1" s="30" t="s">
        <v>20</v>
      </c>
    </row>
    <row r="2" spans="1:37">
      <c r="A2" s="7" t="s">
        <v>21</v>
      </c>
      <c r="B2" s="1" t="s">
        <v>22</v>
      </c>
      <c r="C2" s="20" t="s">
        <v>23</v>
      </c>
      <c r="D2" s="35"/>
      <c r="E2" s="35"/>
      <c r="F2" s="35"/>
      <c r="G2" s="35" t="s">
        <v>82</v>
      </c>
      <c r="H2" s="35"/>
      <c r="I2" s="35"/>
      <c r="J2" s="35"/>
      <c r="K2" s="35" t="s">
        <v>81</v>
      </c>
      <c r="L2" s="35"/>
      <c r="M2" s="35"/>
      <c r="N2" s="35"/>
      <c r="O2" s="35"/>
      <c r="P2" s="35"/>
      <c r="Q2" s="35"/>
      <c r="R2" s="35"/>
      <c r="S2" s="35"/>
      <c r="T2" s="35"/>
      <c r="U2" s="35" t="s">
        <v>82</v>
      </c>
      <c r="V2" s="35"/>
      <c r="W2" s="35"/>
      <c r="X2" s="35"/>
      <c r="Y2" s="35"/>
      <c r="Z2" s="35"/>
      <c r="AA2" s="35" t="s">
        <v>82</v>
      </c>
      <c r="AB2" s="35"/>
      <c r="AC2" s="35"/>
      <c r="AD2" s="35"/>
      <c r="AE2" s="35"/>
      <c r="AF2" s="36" t="s">
        <v>82</v>
      </c>
      <c r="AG2" s="35" t="s">
        <v>82</v>
      </c>
      <c r="AH2" s="36"/>
      <c r="AI2" s="33">
        <f>COUNTIF(D2:AH2,"Leave")</f>
        <v>1</v>
      </c>
      <c r="AJ2" s="34">
        <f>COUNTIF(A2:AH2,"WFH")</f>
        <v>5</v>
      </c>
    </row>
    <row r="3" spans="1:37" ht="15.75">
      <c r="A3" s="7" t="s">
        <v>24</v>
      </c>
      <c r="B3" s="2" t="s">
        <v>25</v>
      </c>
      <c r="C3" s="20" t="s">
        <v>26</v>
      </c>
      <c r="D3" s="35" t="s">
        <v>82</v>
      </c>
      <c r="E3" s="35" t="s">
        <v>81</v>
      </c>
      <c r="F3" s="35" t="s">
        <v>81</v>
      </c>
      <c r="G3" s="35" t="s">
        <v>81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/>
      <c r="AD3" s="35"/>
      <c r="AE3" s="35"/>
      <c r="AF3" s="36"/>
      <c r="AG3" s="35"/>
      <c r="AH3" s="36"/>
      <c r="AI3" s="33">
        <f t="shared" ref="AI3:AI29" si="0">COUNTIF(D3:AH3,"Leave")</f>
        <v>3</v>
      </c>
      <c r="AJ3" s="34">
        <f t="shared" ref="AJ3:AJ29" si="1">COUNTIF(A3:AH3,"WFH")</f>
        <v>1</v>
      </c>
    </row>
    <row r="4" spans="1:37" ht="15.75">
      <c r="A4" s="7" t="s">
        <v>86</v>
      </c>
      <c r="B4" s="2" t="s">
        <v>87</v>
      </c>
      <c r="C4" s="20" t="s">
        <v>88</v>
      </c>
      <c r="D4" s="35"/>
      <c r="E4" s="35"/>
      <c r="F4" s="35"/>
      <c r="G4" s="35"/>
      <c r="H4" s="126" t="s">
        <v>115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8"/>
      <c r="AI4" s="33">
        <f t="shared" si="0"/>
        <v>0</v>
      </c>
      <c r="AJ4" s="34">
        <f t="shared" si="1"/>
        <v>0</v>
      </c>
    </row>
    <row r="5" spans="1:37" ht="15.75">
      <c r="A5" s="7" t="s">
        <v>89</v>
      </c>
      <c r="B5" s="3" t="s">
        <v>90</v>
      </c>
      <c r="C5" s="20" t="s">
        <v>91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35"/>
      <c r="AD5" s="35"/>
      <c r="AE5" s="35"/>
      <c r="AF5" s="36"/>
      <c r="AG5" s="35"/>
      <c r="AH5" s="36"/>
      <c r="AI5" s="33">
        <f t="shared" si="0"/>
        <v>0</v>
      </c>
      <c r="AJ5" s="34">
        <f t="shared" si="1"/>
        <v>0</v>
      </c>
    </row>
    <row r="6" spans="1:37" ht="15.75">
      <c r="A6" s="7" t="s">
        <v>95</v>
      </c>
      <c r="B6" s="3" t="s">
        <v>96</v>
      </c>
      <c r="C6" s="22" t="s">
        <v>97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35"/>
      <c r="AD6" s="35"/>
      <c r="AE6" s="35"/>
      <c r="AF6" s="36"/>
      <c r="AG6" s="35"/>
      <c r="AH6" s="36"/>
      <c r="AI6" s="33">
        <f t="shared" si="0"/>
        <v>0</v>
      </c>
      <c r="AJ6" s="34">
        <f t="shared" si="1"/>
        <v>0</v>
      </c>
    </row>
    <row r="7" spans="1:37" ht="16.5" customHeight="1">
      <c r="A7" s="7" t="s">
        <v>98</v>
      </c>
      <c r="B7" s="5" t="s">
        <v>99</v>
      </c>
      <c r="C7" s="22" t="s">
        <v>100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/>
      <c r="AD7" s="35"/>
      <c r="AE7" s="35"/>
      <c r="AF7" s="36"/>
      <c r="AG7" s="35"/>
      <c r="AH7" s="36"/>
      <c r="AI7" s="33">
        <f t="shared" si="0"/>
        <v>0</v>
      </c>
      <c r="AJ7" s="34">
        <f t="shared" si="1"/>
        <v>0</v>
      </c>
    </row>
    <row r="8" spans="1:37">
      <c r="A8" s="7" t="s">
        <v>27</v>
      </c>
      <c r="B8" s="1" t="s">
        <v>28</v>
      </c>
      <c r="C8" s="22" t="s">
        <v>29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5"/>
      <c r="AD8" s="35"/>
      <c r="AE8" s="35"/>
      <c r="AF8" s="36"/>
      <c r="AG8" s="35"/>
      <c r="AH8" s="36"/>
      <c r="AI8" s="33">
        <f t="shared" si="0"/>
        <v>0</v>
      </c>
      <c r="AJ8" s="34">
        <f t="shared" si="1"/>
        <v>0</v>
      </c>
    </row>
    <row r="9" spans="1:37">
      <c r="A9" s="7" t="s">
        <v>30</v>
      </c>
      <c r="B9" s="1" t="s">
        <v>31</v>
      </c>
      <c r="C9" s="22" t="s">
        <v>29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5"/>
      <c r="AD9" s="35"/>
      <c r="AE9" s="35"/>
      <c r="AF9" s="36"/>
      <c r="AG9" s="35"/>
      <c r="AH9" s="36"/>
      <c r="AI9" s="33">
        <f t="shared" si="0"/>
        <v>0</v>
      </c>
      <c r="AJ9" s="34">
        <f t="shared" si="1"/>
        <v>0</v>
      </c>
    </row>
    <row r="10" spans="1:37">
      <c r="A10" s="11" t="s">
        <v>32</v>
      </c>
      <c r="B10" s="1" t="s">
        <v>33</v>
      </c>
      <c r="C10" s="22" t="s">
        <v>34</v>
      </c>
      <c r="D10" s="35"/>
      <c r="E10" s="35"/>
      <c r="F10" s="35"/>
      <c r="G10" s="35"/>
      <c r="H10" s="35"/>
      <c r="I10" s="35"/>
      <c r="J10" s="35"/>
      <c r="K10" s="35"/>
      <c r="L10" s="35" t="s">
        <v>81</v>
      </c>
      <c r="M10" s="35" t="s">
        <v>81</v>
      </c>
      <c r="N10" s="35"/>
      <c r="O10" s="35"/>
      <c r="P10" s="35"/>
      <c r="Q10" s="35" t="s">
        <v>81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5"/>
      <c r="AD10" s="35"/>
      <c r="AE10" s="35"/>
      <c r="AF10" s="36"/>
      <c r="AG10" s="35"/>
      <c r="AH10" s="36"/>
      <c r="AI10" s="33">
        <f t="shared" si="0"/>
        <v>3</v>
      </c>
      <c r="AJ10" s="34">
        <f t="shared" si="1"/>
        <v>0</v>
      </c>
    </row>
    <row r="11" spans="1:37">
      <c r="A11" s="12" t="s">
        <v>35</v>
      </c>
      <c r="B11" s="1" t="s">
        <v>36</v>
      </c>
      <c r="C11" s="22" t="s">
        <v>37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 t="s">
        <v>82</v>
      </c>
      <c r="AB11" s="36"/>
      <c r="AC11" s="35"/>
      <c r="AD11" s="35"/>
      <c r="AE11" s="35"/>
      <c r="AF11" s="36"/>
      <c r="AG11" s="35"/>
      <c r="AH11" s="39" t="s">
        <v>81</v>
      </c>
      <c r="AI11" s="33">
        <f t="shared" si="0"/>
        <v>1</v>
      </c>
      <c r="AJ11" s="34">
        <f t="shared" si="1"/>
        <v>1</v>
      </c>
    </row>
    <row r="12" spans="1:37">
      <c r="A12" s="14" t="s">
        <v>38</v>
      </c>
      <c r="B12" s="1" t="s">
        <v>39</v>
      </c>
      <c r="C12" s="27" t="s">
        <v>40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 t="s">
        <v>82</v>
      </c>
      <c r="AB12" s="36"/>
      <c r="AC12" s="35"/>
      <c r="AD12" s="35"/>
      <c r="AE12" s="35"/>
      <c r="AF12" s="36"/>
      <c r="AG12" s="36"/>
      <c r="AH12" s="36" t="s">
        <v>82</v>
      </c>
      <c r="AI12" s="33">
        <f t="shared" si="0"/>
        <v>0</v>
      </c>
      <c r="AJ12" s="34">
        <f t="shared" si="1"/>
        <v>2</v>
      </c>
    </row>
    <row r="13" spans="1:37">
      <c r="A13" s="14" t="s">
        <v>41</v>
      </c>
      <c r="B13" s="1" t="s">
        <v>42</v>
      </c>
      <c r="C13" s="22" t="s">
        <v>43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 t="s">
        <v>82</v>
      </c>
      <c r="AB13" s="36" t="s">
        <v>82</v>
      </c>
      <c r="AC13" s="35"/>
      <c r="AD13" s="35"/>
      <c r="AE13" s="35"/>
      <c r="AF13" s="36"/>
      <c r="AG13" s="36"/>
      <c r="AH13" s="36"/>
      <c r="AI13" s="33">
        <f t="shared" si="0"/>
        <v>0</v>
      </c>
      <c r="AJ13" s="34">
        <f t="shared" si="1"/>
        <v>2</v>
      </c>
    </row>
    <row r="14" spans="1:37">
      <c r="A14" s="14" t="s">
        <v>112</v>
      </c>
      <c r="B14" s="1" t="s">
        <v>113</v>
      </c>
      <c r="C14" s="22" t="s">
        <v>43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126" t="s">
        <v>115</v>
      </c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8"/>
      <c r="AI14" s="33">
        <f t="shared" si="0"/>
        <v>0</v>
      </c>
      <c r="AJ14" s="34">
        <f t="shared" si="1"/>
        <v>0</v>
      </c>
    </row>
    <row r="15" spans="1:37">
      <c r="A15" s="14" t="s">
        <v>44</v>
      </c>
      <c r="B15" s="1" t="s">
        <v>45</v>
      </c>
      <c r="C15" s="22" t="s">
        <v>46</v>
      </c>
      <c r="D15" s="38"/>
      <c r="E15" s="38"/>
      <c r="F15" s="38"/>
      <c r="G15" s="38"/>
      <c r="H15" s="38"/>
      <c r="I15" s="35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9"/>
      <c r="AC15" s="38"/>
      <c r="AD15" s="38"/>
      <c r="AE15" s="38"/>
      <c r="AF15" s="39"/>
      <c r="AG15" s="39"/>
      <c r="AH15" s="39"/>
      <c r="AI15" s="33">
        <f t="shared" si="0"/>
        <v>0</v>
      </c>
      <c r="AJ15" s="34">
        <f t="shared" si="1"/>
        <v>0</v>
      </c>
    </row>
    <row r="16" spans="1:37">
      <c r="A16" s="11" t="s">
        <v>47</v>
      </c>
      <c r="B16" s="1" t="s">
        <v>48</v>
      </c>
      <c r="C16" s="22" t="s">
        <v>49</v>
      </c>
      <c r="D16" s="38"/>
      <c r="E16" s="38"/>
      <c r="F16" s="38"/>
      <c r="G16" s="38"/>
      <c r="H16" s="38"/>
      <c r="I16" s="38"/>
      <c r="J16" s="8" t="s">
        <v>82</v>
      </c>
      <c r="K16" s="38"/>
      <c r="L16" s="38"/>
      <c r="M16" s="38"/>
      <c r="N16" s="38"/>
      <c r="O16" s="38"/>
      <c r="P16" s="38"/>
      <c r="Q16" s="38"/>
      <c r="R16" s="38" t="s">
        <v>81</v>
      </c>
      <c r="S16" s="38"/>
      <c r="T16" s="38"/>
      <c r="U16" s="8" t="s">
        <v>82</v>
      </c>
      <c r="V16" s="38"/>
      <c r="W16" s="38"/>
      <c r="X16" s="38"/>
      <c r="Y16" s="38" t="s">
        <v>82</v>
      </c>
      <c r="Z16" s="38"/>
      <c r="AA16" s="38" t="s">
        <v>82</v>
      </c>
      <c r="AB16" s="39" t="s">
        <v>82</v>
      </c>
      <c r="AC16" s="38"/>
      <c r="AD16" s="38"/>
      <c r="AE16" s="38"/>
      <c r="AF16" s="39"/>
      <c r="AG16" s="39" t="s">
        <v>82</v>
      </c>
      <c r="AH16" s="39"/>
      <c r="AI16" s="33">
        <f t="shared" si="0"/>
        <v>1</v>
      </c>
      <c r="AJ16" s="34">
        <f t="shared" si="1"/>
        <v>6</v>
      </c>
    </row>
    <row r="17" spans="1:36">
      <c r="A17" s="1" t="s">
        <v>50</v>
      </c>
      <c r="B17" s="1" t="s">
        <v>51</v>
      </c>
      <c r="C17" s="22" t="s">
        <v>52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 t="s">
        <v>82</v>
      </c>
      <c r="AC17" s="38"/>
      <c r="AD17" s="38"/>
      <c r="AE17" s="38"/>
      <c r="AF17" s="39"/>
      <c r="AG17" s="39"/>
      <c r="AH17" s="39" t="s">
        <v>81</v>
      </c>
      <c r="AI17" s="33">
        <f t="shared" si="0"/>
        <v>1</v>
      </c>
      <c r="AJ17" s="34">
        <f t="shared" si="1"/>
        <v>1</v>
      </c>
    </row>
    <row r="18" spans="1:36">
      <c r="A18" s="8"/>
      <c r="B18" s="8" t="s">
        <v>55</v>
      </c>
      <c r="C18" s="8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 t="s">
        <v>82</v>
      </c>
      <c r="T18" s="35" t="s">
        <v>82</v>
      </c>
      <c r="U18" s="35"/>
      <c r="V18" s="35"/>
      <c r="W18" s="35"/>
      <c r="X18" s="35"/>
      <c r="Y18" s="35"/>
      <c r="Z18" s="35"/>
      <c r="AA18" s="35"/>
      <c r="AB18" s="35" t="s">
        <v>82</v>
      </c>
      <c r="AC18" s="35"/>
      <c r="AD18" s="35"/>
      <c r="AE18" s="35"/>
      <c r="AF18" s="35" t="s">
        <v>82</v>
      </c>
      <c r="AG18" s="36" t="s">
        <v>82</v>
      </c>
      <c r="AH18" s="36"/>
      <c r="AI18" s="33">
        <f t="shared" si="0"/>
        <v>0</v>
      </c>
      <c r="AJ18" s="34">
        <f t="shared" si="1"/>
        <v>5</v>
      </c>
    </row>
    <row r="19" spans="1:36">
      <c r="A19" s="8"/>
      <c r="B19" s="8" t="s">
        <v>56</v>
      </c>
      <c r="C19" s="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6"/>
      <c r="AH19" s="36"/>
      <c r="AI19" s="33">
        <f t="shared" si="0"/>
        <v>0</v>
      </c>
      <c r="AJ19" s="34">
        <f t="shared" si="1"/>
        <v>0</v>
      </c>
    </row>
    <row r="20" spans="1:36">
      <c r="A20" s="28"/>
      <c r="B20" s="28" t="s">
        <v>58</v>
      </c>
      <c r="C20" s="28"/>
      <c r="D20" s="38"/>
      <c r="E20" s="38"/>
      <c r="F20" s="38" t="s">
        <v>82</v>
      </c>
      <c r="G20" s="38"/>
      <c r="H20" s="38"/>
      <c r="I20" s="38"/>
      <c r="J20" s="38"/>
      <c r="K20" s="38" t="s">
        <v>82</v>
      </c>
      <c r="L20" s="38" t="s">
        <v>82</v>
      </c>
      <c r="M20" s="38" t="s">
        <v>82</v>
      </c>
      <c r="N20" s="38" t="s">
        <v>82</v>
      </c>
      <c r="O20" s="38"/>
      <c r="P20" s="38"/>
      <c r="Q20" s="38"/>
      <c r="R20" s="38" t="s">
        <v>82</v>
      </c>
      <c r="S20" s="38" t="s">
        <v>82</v>
      </c>
      <c r="T20" s="38" t="s">
        <v>82</v>
      </c>
      <c r="U20" s="38" t="s">
        <v>82</v>
      </c>
      <c r="V20" s="38"/>
      <c r="W20" s="38"/>
      <c r="X20" s="38"/>
      <c r="Y20" s="38" t="s">
        <v>82</v>
      </c>
      <c r="Z20" s="38" t="s">
        <v>82</v>
      </c>
      <c r="AA20" s="38" t="s">
        <v>82</v>
      </c>
      <c r="AB20" s="38" t="s">
        <v>82</v>
      </c>
      <c r="AC20" s="38"/>
      <c r="AD20" s="38"/>
      <c r="AE20" s="38"/>
      <c r="AF20" s="38" t="s">
        <v>82</v>
      </c>
      <c r="AG20" s="38" t="s">
        <v>82</v>
      </c>
      <c r="AH20" s="38"/>
      <c r="AI20" s="33">
        <f t="shared" si="0"/>
        <v>0</v>
      </c>
      <c r="AJ20" s="34">
        <f t="shared" si="1"/>
        <v>15</v>
      </c>
    </row>
    <row r="21" spans="1:36">
      <c r="A21" s="8"/>
      <c r="B21" s="1" t="s">
        <v>60</v>
      </c>
      <c r="C21" s="1" t="s">
        <v>61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 t="s">
        <v>82</v>
      </c>
      <c r="AF21" s="8" t="s">
        <v>82</v>
      </c>
      <c r="AG21" s="20" t="s">
        <v>81</v>
      </c>
      <c r="AH21" s="20" t="s">
        <v>82</v>
      </c>
      <c r="AI21" s="33">
        <f t="shared" si="0"/>
        <v>1</v>
      </c>
      <c r="AJ21" s="34">
        <f t="shared" si="1"/>
        <v>3</v>
      </c>
    </row>
    <row r="22" spans="1:36">
      <c r="A22" s="8"/>
      <c r="B22" s="4" t="s">
        <v>117</v>
      </c>
      <c r="C22" s="4" t="s">
        <v>118</v>
      </c>
      <c r="D22" s="8" t="s">
        <v>81</v>
      </c>
      <c r="E22" s="8"/>
      <c r="F22" s="8"/>
      <c r="G22" s="8" t="s">
        <v>81</v>
      </c>
      <c r="H22" s="8"/>
      <c r="I22" s="8"/>
      <c r="J22" s="8"/>
      <c r="K22" s="8" t="s">
        <v>82</v>
      </c>
      <c r="L22" s="8"/>
      <c r="M22" s="8" t="s">
        <v>81</v>
      </c>
      <c r="N22" s="8" t="s">
        <v>82</v>
      </c>
      <c r="O22" s="8"/>
      <c r="P22" s="8"/>
      <c r="Q22" s="8" t="s">
        <v>82</v>
      </c>
      <c r="R22" s="8"/>
      <c r="S22" s="8"/>
      <c r="T22" s="8"/>
      <c r="U22" s="8"/>
      <c r="V22" s="8"/>
      <c r="W22" s="8"/>
      <c r="X22" s="8" t="s">
        <v>82</v>
      </c>
      <c r="Y22" s="8"/>
      <c r="Z22" s="8"/>
      <c r="AA22" s="8"/>
      <c r="AB22" s="8"/>
      <c r="AC22" s="8"/>
      <c r="AD22" s="8"/>
      <c r="AE22" s="8" t="s">
        <v>81</v>
      </c>
      <c r="AF22" s="8" t="s">
        <v>81</v>
      </c>
      <c r="AG22" s="20"/>
      <c r="AH22" s="20"/>
      <c r="AI22" s="33">
        <f t="shared" si="0"/>
        <v>5</v>
      </c>
      <c r="AJ22" s="34">
        <f t="shared" si="1"/>
        <v>4</v>
      </c>
    </row>
    <row r="23" spans="1:36">
      <c r="A23" s="8"/>
      <c r="B23" s="1" t="s">
        <v>62</v>
      </c>
      <c r="C23" s="1" t="s">
        <v>63</v>
      </c>
      <c r="D23" s="8"/>
      <c r="E23" s="8"/>
      <c r="F23" s="8"/>
      <c r="G23" s="8"/>
      <c r="H23" s="8"/>
      <c r="I23" s="8"/>
      <c r="J23" s="8" t="s">
        <v>82</v>
      </c>
      <c r="K23" s="8" t="s">
        <v>81</v>
      </c>
      <c r="L23" s="8" t="s">
        <v>81</v>
      </c>
      <c r="M23" s="8" t="s">
        <v>82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20"/>
      <c r="AH23" s="20"/>
      <c r="AI23" s="33">
        <f t="shared" si="0"/>
        <v>2</v>
      </c>
      <c r="AJ23" s="34">
        <f t="shared" si="1"/>
        <v>2</v>
      </c>
    </row>
    <row r="24" spans="1:36">
      <c r="A24" s="8"/>
      <c r="B24" s="1" t="s">
        <v>64</v>
      </c>
      <c r="C24" s="1" t="s">
        <v>63</v>
      </c>
      <c r="D24" s="8"/>
      <c r="E24" s="8"/>
      <c r="F24" s="8"/>
      <c r="G24" s="8"/>
      <c r="H24" s="8"/>
      <c r="I24" s="8"/>
      <c r="J24" s="8" t="s">
        <v>82</v>
      </c>
      <c r="K24" s="8"/>
      <c r="L24" s="8"/>
      <c r="M24" s="8"/>
      <c r="N24" s="8"/>
      <c r="O24" s="8"/>
      <c r="P24" s="8"/>
      <c r="Q24" s="8" t="s">
        <v>82</v>
      </c>
      <c r="R24" s="8" t="s">
        <v>81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20" t="s">
        <v>81</v>
      </c>
      <c r="AH24" s="20" t="s">
        <v>82</v>
      </c>
      <c r="AI24" s="33">
        <f t="shared" si="0"/>
        <v>2</v>
      </c>
      <c r="AJ24" s="34">
        <f t="shared" si="1"/>
        <v>3</v>
      </c>
    </row>
    <row r="25" spans="1:36">
      <c r="A25" s="8"/>
      <c r="B25" s="1" t="s">
        <v>65</v>
      </c>
      <c r="C25" s="1" t="s">
        <v>63</v>
      </c>
      <c r="D25" s="8" t="s">
        <v>82</v>
      </c>
      <c r="E25" s="8" t="s">
        <v>81</v>
      </c>
      <c r="F25" s="8" t="s">
        <v>81</v>
      </c>
      <c r="G25" s="8"/>
      <c r="H25" s="8"/>
      <c r="I25" s="8"/>
      <c r="J25" s="8"/>
      <c r="K25" s="8"/>
      <c r="L25" s="8"/>
      <c r="M25" s="8" t="s">
        <v>82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 t="s">
        <v>82</v>
      </c>
      <c r="AG25" s="20"/>
      <c r="AH25" s="20"/>
      <c r="AI25" s="33">
        <f t="shared" si="0"/>
        <v>2</v>
      </c>
      <c r="AJ25" s="34">
        <f t="shared" si="1"/>
        <v>3</v>
      </c>
    </row>
    <row r="26" spans="1:36">
      <c r="A26" s="8"/>
      <c r="B26" s="1" t="s">
        <v>66</v>
      </c>
      <c r="C26" s="1" t="s">
        <v>67</v>
      </c>
      <c r="D26" s="8"/>
      <c r="E26" s="8"/>
      <c r="F26" s="8"/>
      <c r="G26" s="8"/>
      <c r="H26" s="8"/>
      <c r="I26" s="8"/>
      <c r="J26" s="8"/>
      <c r="K26" s="8"/>
      <c r="L26" s="8"/>
      <c r="M26" s="8" t="s">
        <v>82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20"/>
      <c r="AH26" s="20"/>
      <c r="AI26" s="33">
        <f t="shared" si="0"/>
        <v>0</v>
      </c>
      <c r="AJ26" s="34">
        <f t="shared" si="1"/>
        <v>1</v>
      </c>
    </row>
    <row r="27" spans="1:36">
      <c r="A27" s="8"/>
      <c r="B27" s="1" t="s">
        <v>68</v>
      </c>
      <c r="C27" s="1" t="s">
        <v>67</v>
      </c>
      <c r="D27" s="8" t="s">
        <v>81</v>
      </c>
      <c r="E27" s="8"/>
      <c r="F27" s="8"/>
      <c r="G27" s="8"/>
      <c r="H27" s="8"/>
      <c r="I27" s="8"/>
      <c r="J27" s="8"/>
      <c r="K27" s="8"/>
      <c r="L27" s="8"/>
      <c r="M27" s="8" t="s">
        <v>82</v>
      </c>
      <c r="N27" s="8" t="s">
        <v>81</v>
      </c>
      <c r="O27" s="8"/>
      <c r="P27" s="8"/>
      <c r="Q27" s="8"/>
      <c r="R27" s="8"/>
      <c r="S27" s="8"/>
      <c r="T27" s="8"/>
      <c r="U27" s="8" t="s">
        <v>82</v>
      </c>
      <c r="V27" s="8"/>
      <c r="W27" s="8"/>
      <c r="Y27" s="8"/>
      <c r="Z27" s="8"/>
      <c r="AA27" s="8" t="s">
        <v>82</v>
      </c>
      <c r="AB27" s="8" t="s">
        <v>82</v>
      </c>
      <c r="AC27" s="8"/>
      <c r="AD27" s="8"/>
      <c r="AE27" s="8" t="s">
        <v>81</v>
      </c>
      <c r="AF27" s="8"/>
      <c r="AG27" s="20"/>
      <c r="AH27" s="20"/>
      <c r="AI27" s="33">
        <f t="shared" si="0"/>
        <v>3</v>
      </c>
      <c r="AJ27" s="34">
        <f t="shared" si="1"/>
        <v>4</v>
      </c>
    </row>
    <row r="28" spans="1:36">
      <c r="A28" s="8"/>
      <c r="B28" s="1" t="s">
        <v>69</v>
      </c>
      <c r="C28" s="1" t="s">
        <v>67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28" t="s">
        <v>81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20"/>
      <c r="AH28" s="20" t="s">
        <v>82</v>
      </c>
      <c r="AI28" s="33">
        <f t="shared" si="0"/>
        <v>1</v>
      </c>
      <c r="AJ28" s="34">
        <f t="shared" si="1"/>
        <v>1</v>
      </c>
    </row>
    <row r="29" spans="1:36">
      <c r="A29" s="28"/>
      <c r="B29" s="51" t="s">
        <v>70</v>
      </c>
      <c r="C29" s="51" t="s">
        <v>71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 t="s">
        <v>81</v>
      </c>
      <c r="AC29" s="28"/>
      <c r="AD29" s="28"/>
      <c r="AE29" s="28"/>
      <c r="AF29" s="28"/>
      <c r="AG29" s="29"/>
      <c r="AH29" s="29"/>
      <c r="AI29" s="42">
        <f t="shared" si="0"/>
        <v>1</v>
      </c>
      <c r="AJ29" s="43">
        <f t="shared" si="1"/>
        <v>0</v>
      </c>
    </row>
    <row r="30" spans="1:36">
      <c r="A30" s="8"/>
      <c r="B30" s="8" t="s">
        <v>72</v>
      </c>
      <c r="C30" s="1" t="s">
        <v>73</v>
      </c>
      <c r="D30" s="129"/>
      <c r="E30" s="130"/>
      <c r="F30" s="131"/>
      <c r="G30" s="8"/>
      <c r="H30" s="8"/>
      <c r="I30" s="8"/>
      <c r="J30" s="8"/>
      <c r="K30" s="8"/>
      <c r="L30" s="8"/>
      <c r="M30" s="8"/>
      <c r="N30" s="8" t="s">
        <v>82</v>
      </c>
      <c r="O30" s="8"/>
      <c r="P30" s="8"/>
      <c r="Q30" s="8"/>
      <c r="R30" s="8"/>
      <c r="S30" s="8"/>
      <c r="T30" s="8" t="s">
        <v>81</v>
      </c>
      <c r="U30" s="8" t="s">
        <v>81</v>
      </c>
      <c r="V30" s="8"/>
      <c r="W30" s="8"/>
      <c r="X30" s="8" t="s">
        <v>82</v>
      </c>
      <c r="Y30" s="8" t="s">
        <v>81</v>
      </c>
      <c r="Z30" s="8" t="s">
        <v>81</v>
      </c>
      <c r="AA30" s="8" t="s">
        <v>81</v>
      </c>
      <c r="AB30" s="8" t="s">
        <v>81</v>
      </c>
      <c r="AC30" s="8" t="s">
        <v>81</v>
      </c>
      <c r="AD30" s="8" t="s">
        <v>81</v>
      </c>
      <c r="AE30" s="8" t="s">
        <v>81</v>
      </c>
      <c r="AF30" s="8" t="s">
        <v>81</v>
      </c>
      <c r="AG30" s="8" t="s">
        <v>81</v>
      </c>
      <c r="AH30" s="8" t="s">
        <v>81</v>
      </c>
      <c r="AI30" s="34">
        <f t="shared" ref="AI30" si="2">COUNTIF(D30:AH30,"Leave")</f>
        <v>12</v>
      </c>
      <c r="AJ30" s="34">
        <f t="shared" ref="AJ30" si="3">COUNTIF(A30:AH30,"WFH")</f>
        <v>2</v>
      </c>
    </row>
  </sheetData>
  <mergeCells count="3">
    <mergeCell ref="H4:AH4"/>
    <mergeCell ref="V14:AH14"/>
    <mergeCell ref="D30:F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3072-EFE6-47F8-B4C0-FDB93846A407}">
  <dimension ref="A1:AL26"/>
  <sheetViews>
    <sheetView workbookViewId="0">
      <pane ySplit="1" topLeftCell="L2" activePane="bottomLeft" state="frozen"/>
      <selection pane="bottomLeft" activeCell="R2" sqref="R2:R25"/>
    </sheetView>
  </sheetViews>
  <sheetFormatPr defaultRowHeight="15"/>
  <cols>
    <col min="2" max="2" width="27.42578125" bestFit="1" customWidth="1"/>
    <col min="3" max="3" width="16.140625" customWidth="1"/>
    <col min="38" max="38" width="28.7109375" bestFit="1" customWidth="1"/>
  </cols>
  <sheetData>
    <row r="1" spans="1:38" s="15" customFormat="1">
      <c r="A1" s="15" t="s">
        <v>0</v>
      </c>
      <c r="B1" s="15" t="s">
        <v>1</v>
      </c>
      <c r="C1" s="15" t="s">
        <v>2</v>
      </c>
      <c r="D1" s="24">
        <v>45870</v>
      </c>
      <c r="E1" s="23">
        <v>45871</v>
      </c>
      <c r="F1" s="23">
        <v>45872</v>
      </c>
      <c r="G1" s="24">
        <v>45873</v>
      </c>
      <c r="H1" s="24">
        <v>45874</v>
      </c>
      <c r="I1" s="24">
        <v>45875</v>
      </c>
      <c r="J1" s="24">
        <v>45876</v>
      </c>
      <c r="K1" s="24">
        <v>45877</v>
      </c>
      <c r="L1" s="23">
        <v>45878</v>
      </c>
      <c r="M1" s="23">
        <v>45879</v>
      </c>
      <c r="N1" s="24">
        <v>45880</v>
      </c>
      <c r="O1" s="24">
        <v>45881</v>
      </c>
      <c r="P1" s="24">
        <v>45882</v>
      </c>
      <c r="Q1" s="24">
        <v>45883</v>
      </c>
      <c r="R1" s="24">
        <v>45884</v>
      </c>
      <c r="S1" s="23">
        <v>45885</v>
      </c>
      <c r="T1" s="23">
        <v>45886</v>
      </c>
      <c r="U1" s="24">
        <v>45887</v>
      </c>
      <c r="V1" s="24">
        <v>45888</v>
      </c>
      <c r="W1" s="24">
        <v>45889</v>
      </c>
      <c r="X1" s="24">
        <v>45890</v>
      </c>
      <c r="Y1" s="24">
        <v>45891</v>
      </c>
      <c r="Z1" s="23">
        <v>45892</v>
      </c>
      <c r="AA1" s="23">
        <v>45893</v>
      </c>
      <c r="AB1" s="24">
        <v>45894</v>
      </c>
      <c r="AC1" s="24">
        <v>45895</v>
      </c>
      <c r="AD1" s="24">
        <v>45896</v>
      </c>
      <c r="AE1" s="24">
        <v>45897</v>
      </c>
      <c r="AF1" s="24">
        <v>45898</v>
      </c>
      <c r="AG1" s="23">
        <v>45899</v>
      </c>
      <c r="AH1" s="23">
        <v>45900</v>
      </c>
      <c r="AI1" s="31" t="s">
        <v>81</v>
      </c>
      <c r="AJ1" s="32" t="s">
        <v>82</v>
      </c>
      <c r="AK1" s="30" t="s">
        <v>20</v>
      </c>
      <c r="AL1" s="15" t="s">
        <v>120</v>
      </c>
    </row>
    <row r="2" spans="1:38">
      <c r="A2" s="60" t="s">
        <v>21</v>
      </c>
      <c r="B2" s="61" t="s">
        <v>22</v>
      </c>
      <c r="C2" s="20" t="s">
        <v>23</v>
      </c>
      <c r="D2" s="35" t="s">
        <v>82</v>
      </c>
      <c r="E2" s="35"/>
      <c r="F2" s="35"/>
      <c r="G2" s="35"/>
      <c r="H2" s="35" t="s">
        <v>82</v>
      </c>
      <c r="I2" s="35"/>
      <c r="J2" s="35"/>
      <c r="K2" s="35"/>
      <c r="L2" s="35"/>
      <c r="M2" s="35"/>
      <c r="N2" s="35"/>
      <c r="O2" s="35" t="s">
        <v>81</v>
      </c>
      <c r="P2" s="35" t="s">
        <v>81</v>
      </c>
      <c r="Q2" s="35" t="s">
        <v>81</v>
      </c>
      <c r="R2" s="85"/>
      <c r="S2" s="35"/>
      <c r="T2" s="35"/>
      <c r="U2" s="35"/>
      <c r="V2" s="35" t="s">
        <v>82</v>
      </c>
      <c r="W2" s="35"/>
      <c r="X2" s="35"/>
      <c r="Y2" s="35"/>
      <c r="Z2" s="35"/>
      <c r="AA2" s="35"/>
      <c r="AB2" s="35"/>
      <c r="AC2" s="35" t="s">
        <v>82</v>
      </c>
      <c r="AD2" s="85"/>
      <c r="AE2" s="35" t="s">
        <v>82</v>
      </c>
      <c r="AF2" s="36"/>
      <c r="AG2" s="35"/>
      <c r="AH2" s="36"/>
      <c r="AI2" s="33">
        <f>COUNTIF(D2:AH2,"Leave")</f>
        <v>3</v>
      </c>
      <c r="AJ2" s="34">
        <f>COUNTIF(A2:AH2,"WFH")</f>
        <v>5</v>
      </c>
    </row>
    <row r="3" spans="1:38">
      <c r="A3" s="60" t="s">
        <v>24</v>
      </c>
      <c r="B3" s="61" t="s">
        <v>25</v>
      </c>
      <c r="C3" s="20" t="s">
        <v>26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85"/>
      <c r="S3" s="35"/>
      <c r="T3" s="35"/>
      <c r="U3" s="35"/>
      <c r="V3" s="35"/>
      <c r="W3" s="35"/>
      <c r="X3" s="35"/>
      <c r="Y3" s="35"/>
      <c r="Z3" s="35"/>
      <c r="AA3" s="35"/>
      <c r="AB3" s="36"/>
      <c r="AC3" s="35"/>
      <c r="AD3" s="85"/>
      <c r="AE3" s="35"/>
      <c r="AF3" s="36"/>
      <c r="AG3" s="35"/>
      <c r="AH3" s="36"/>
      <c r="AI3" s="33">
        <f t="shared" ref="AI3:AI25" si="0">COUNTIF(D3:AH3,"Leave")</f>
        <v>0</v>
      </c>
      <c r="AJ3" s="34">
        <f t="shared" ref="AJ3:AJ25" si="1">COUNTIF(A3:AH3,"WFH")</f>
        <v>0</v>
      </c>
    </row>
    <row r="4" spans="1:38">
      <c r="A4" s="60" t="s">
        <v>27</v>
      </c>
      <c r="B4" s="61" t="s">
        <v>28</v>
      </c>
      <c r="C4" s="22" t="s">
        <v>29</v>
      </c>
      <c r="D4" s="35" t="s">
        <v>82</v>
      </c>
      <c r="E4" s="35"/>
      <c r="F4" s="35"/>
      <c r="G4" s="35" t="s">
        <v>82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85"/>
      <c r="S4" s="35"/>
      <c r="T4" s="35"/>
      <c r="U4" s="35" t="s">
        <v>82</v>
      </c>
      <c r="V4" s="35" t="s">
        <v>82</v>
      </c>
      <c r="W4" s="35"/>
      <c r="X4" s="35" t="s">
        <v>82</v>
      </c>
      <c r="Y4" s="35"/>
      <c r="Z4" s="35"/>
      <c r="AA4" s="35"/>
      <c r="AB4" s="36"/>
      <c r="AC4" s="35"/>
      <c r="AD4" s="85"/>
      <c r="AE4" s="35" t="s">
        <v>82</v>
      </c>
      <c r="AF4" s="35" t="s">
        <v>82</v>
      </c>
      <c r="AG4" s="35"/>
      <c r="AH4" s="36"/>
      <c r="AI4" s="33">
        <f t="shared" si="0"/>
        <v>0</v>
      </c>
      <c r="AJ4" s="34">
        <f t="shared" si="1"/>
        <v>7</v>
      </c>
    </row>
    <row r="5" spans="1:38">
      <c r="A5" s="60" t="s">
        <v>30</v>
      </c>
      <c r="B5" s="61" t="s">
        <v>31</v>
      </c>
      <c r="C5" s="22" t="s">
        <v>29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85"/>
      <c r="S5" s="35"/>
      <c r="T5" s="35"/>
      <c r="U5" s="35" t="s">
        <v>82</v>
      </c>
      <c r="V5" s="35" t="s">
        <v>82</v>
      </c>
      <c r="W5" s="35"/>
      <c r="X5" s="35"/>
      <c r="Y5" s="35"/>
      <c r="Z5" s="35"/>
      <c r="AA5" s="35"/>
      <c r="AB5" s="36"/>
      <c r="AC5" s="35"/>
      <c r="AD5" s="85"/>
      <c r="AE5" s="35" t="s">
        <v>82</v>
      </c>
      <c r="AF5" s="35" t="s">
        <v>82</v>
      </c>
      <c r="AG5" s="35"/>
      <c r="AH5" s="36"/>
      <c r="AI5" s="33">
        <f t="shared" si="0"/>
        <v>0</v>
      </c>
      <c r="AJ5" s="34">
        <f t="shared" si="1"/>
        <v>4</v>
      </c>
    </row>
    <row r="6" spans="1:38">
      <c r="A6" s="62" t="s">
        <v>32</v>
      </c>
      <c r="B6" s="61" t="s">
        <v>33</v>
      </c>
      <c r="C6" s="22" t="s">
        <v>34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85"/>
      <c r="S6" s="35"/>
      <c r="T6" s="35"/>
      <c r="U6" s="35"/>
      <c r="V6" s="35" t="s">
        <v>81</v>
      </c>
      <c r="W6" s="35" t="s">
        <v>81</v>
      </c>
      <c r="X6" s="35" t="s">
        <v>81</v>
      </c>
      <c r="Y6" s="35" t="s">
        <v>81</v>
      </c>
      <c r="Z6" s="35"/>
      <c r="AA6" s="35"/>
      <c r="AB6" s="36"/>
      <c r="AC6" s="35"/>
      <c r="AD6" s="85"/>
      <c r="AE6" s="35"/>
      <c r="AF6" s="36" t="s">
        <v>82</v>
      </c>
      <c r="AG6" s="35"/>
      <c r="AH6" s="36"/>
      <c r="AI6" s="33">
        <f t="shared" si="0"/>
        <v>4</v>
      </c>
      <c r="AJ6" s="34">
        <f t="shared" si="1"/>
        <v>1</v>
      </c>
    </row>
    <row r="7" spans="1:38">
      <c r="A7" s="63" t="s">
        <v>35</v>
      </c>
      <c r="B7" s="61" t="s">
        <v>36</v>
      </c>
      <c r="C7" s="22" t="s">
        <v>37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85"/>
      <c r="S7" s="35"/>
      <c r="T7" s="35"/>
      <c r="U7" s="35"/>
      <c r="V7" s="35"/>
      <c r="W7" s="35"/>
      <c r="X7" s="35"/>
      <c r="Y7" s="35"/>
      <c r="Z7" s="35"/>
      <c r="AA7" s="35"/>
      <c r="AB7" s="36"/>
      <c r="AC7" s="35"/>
      <c r="AD7" s="85"/>
      <c r="AE7" s="35" t="s">
        <v>82</v>
      </c>
      <c r="AF7" s="36" t="s">
        <v>82</v>
      </c>
      <c r="AG7" s="35"/>
      <c r="AH7" s="39"/>
      <c r="AI7" s="33">
        <f t="shared" si="0"/>
        <v>0</v>
      </c>
      <c r="AJ7" s="34">
        <f t="shared" si="1"/>
        <v>2</v>
      </c>
    </row>
    <row r="8" spans="1:38">
      <c r="A8" s="64" t="s">
        <v>38</v>
      </c>
      <c r="B8" s="61" t="s">
        <v>39</v>
      </c>
      <c r="C8" s="27" t="s">
        <v>40</v>
      </c>
      <c r="D8" s="35"/>
      <c r="E8" s="35"/>
      <c r="F8" s="35"/>
      <c r="G8" s="35"/>
      <c r="H8" s="35"/>
      <c r="I8" s="35"/>
      <c r="J8" s="35" t="s">
        <v>82</v>
      </c>
      <c r="K8" s="35"/>
      <c r="L8" s="35"/>
      <c r="M8" s="35"/>
      <c r="N8" s="35"/>
      <c r="O8" s="35"/>
      <c r="P8" s="35"/>
      <c r="Q8" s="35"/>
      <c r="R8" s="85"/>
      <c r="S8" s="35"/>
      <c r="T8" s="35"/>
      <c r="U8" s="35" t="s">
        <v>82</v>
      </c>
      <c r="V8" s="35" t="s">
        <v>82</v>
      </c>
      <c r="W8" s="35" t="s">
        <v>81</v>
      </c>
      <c r="X8" s="35" t="s">
        <v>81</v>
      </c>
      <c r="Y8" s="35" t="s">
        <v>81</v>
      </c>
      <c r="Z8" s="35"/>
      <c r="AA8" s="35"/>
      <c r="AB8" s="36"/>
      <c r="AC8" s="35"/>
      <c r="AD8" s="85"/>
      <c r="AE8" s="35" t="s">
        <v>82</v>
      </c>
      <c r="AF8" s="36"/>
      <c r="AG8" s="36"/>
      <c r="AH8" s="36"/>
      <c r="AI8" s="33">
        <f t="shared" si="0"/>
        <v>3</v>
      </c>
      <c r="AJ8" s="34">
        <f t="shared" si="1"/>
        <v>4</v>
      </c>
      <c r="AL8" t="s">
        <v>121</v>
      </c>
    </row>
    <row r="9" spans="1:38">
      <c r="A9" s="64" t="s">
        <v>41</v>
      </c>
      <c r="B9" s="61" t="s">
        <v>42</v>
      </c>
      <c r="C9" s="22" t="s">
        <v>43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85"/>
      <c r="S9" s="35"/>
      <c r="T9" s="35"/>
      <c r="U9" s="35"/>
      <c r="V9" s="35"/>
      <c r="W9" s="35"/>
      <c r="X9" s="35"/>
      <c r="Y9" s="35" t="s">
        <v>81</v>
      </c>
      <c r="Z9" s="35"/>
      <c r="AA9" s="35"/>
      <c r="AB9" s="36"/>
      <c r="AC9" s="35" t="s">
        <v>82</v>
      </c>
      <c r="AD9" s="85"/>
      <c r="AE9" s="35"/>
      <c r="AF9" s="36"/>
      <c r="AG9" s="36"/>
      <c r="AH9" s="36"/>
      <c r="AI9" s="33">
        <f t="shared" si="0"/>
        <v>1</v>
      </c>
      <c r="AJ9" s="34">
        <f t="shared" si="1"/>
        <v>1</v>
      </c>
    </row>
    <row r="10" spans="1:38">
      <c r="A10" s="64" t="s">
        <v>44</v>
      </c>
      <c r="B10" s="61" t="s">
        <v>45</v>
      </c>
      <c r="C10" s="22" t="s">
        <v>46</v>
      </c>
      <c r="D10" s="38"/>
      <c r="E10" s="38"/>
      <c r="F10" s="38"/>
      <c r="G10" s="38"/>
      <c r="H10" s="38"/>
      <c r="I10" s="35" t="s">
        <v>82</v>
      </c>
      <c r="J10" s="38"/>
      <c r="K10" s="38"/>
      <c r="L10" s="38"/>
      <c r="M10" s="38"/>
      <c r="N10" s="38"/>
      <c r="O10" s="38"/>
      <c r="P10" s="38"/>
      <c r="Q10" s="38"/>
      <c r="R10" s="85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8"/>
      <c r="AD10" s="86"/>
      <c r="AE10" s="38"/>
      <c r="AF10" s="39"/>
      <c r="AG10" s="39"/>
      <c r="AH10" s="39"/>
      <c r="AI10" s="33">
        <f t="shared" si="0"/>
        <v>0</v>
      </c>
      <c r="AJ10" s="34">
        <f t="shared" si="1"/>
        <v>1</v>
      </c>
    </row>
    <row r="11" spans="1:38">
      <c r="A11" s="62" t="s">
        <v>47</v>
      </c>
      <c r="B11" s="61" t="s">
        <v>48</v>
      </c>
      <c r="C11" s="22" t="s">
        <v>49</v>
      </c>
      <c r="D11" s="38"/>
      <c r="E11" s="38"/>
      <c r="F11" s="38"/>
      <c r="G11" s="38" t="s">
        <v>82</v>
      </c>
      <c r="H11" s="38"/>
      <c r="I11" s="38"/>
      <c r="J11" s="8"/>
      <c r="K11" s="38"/>
      <c r="L11" s="38"/>
      <c r="M11" s="38"/>
      <c r="N11" s="38"/>
      <c r="O11" s="38"/>
      <c r="P11" s="38"/>
      <c r="Q11" s="38"/>
      <c r="R11" s="85"/>
      <c r="S11" s="38"/>
      <c r="T11" s="38"/>
      <c r="U11" s="8"/>
      <c r="V11" s="38"/>
      <c r="W11" s="38"/>
      <c r="X11" s="38"/>
      <c r="Y11" s="38"/>
      <c r="Z11" s="38"/>
      <c r="AA11" s="38"/>
      <c r="AB11" s="39" t="s">
        <v>81</v>
      </c>
      <c r="AC11" s="38"/>
      <c r="AD11" s="86"/>
      <c r="AE11" s="38" t="s">
        <v>82</v>
      </c>
      <c r="AF11" s="39" t="s">
        <v>82</v>
      </c>
      <c r="AG11" s="39"/>
      <c r="AH11" s="39"/>
      <c r="AI11" s="33">
        <f t="shared" si="0"/>
        <v>1</v>
      </c>
      <c r="AJ11" s="34">
        <f t="shared" si="1"/>
        <v>3</v>
      </c>
      <c r="AL11" t="s">
        <v>121</v>
      </c>
    </row>
    <row r="12" spans="1:38">
      <c r="A12" s="61" t="s">
        <v>50</v>
      </c>
      <c r="B12" s="61" t="s">
        <v>51</v>
      </c>
      <c r="C12" s="22" t="s">
        <v>52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85"/>
      <c r="S12" s="38"/>
      <c r="T12" s="38"/>
      <c r="U12" s="38"/>
      <c r="V12" s="38"/>
      <c r="W12" s="38"/>
      <c r="X12" s="38"/>
      <c r="Y12" s="38"/>
      <c r="Z12" s="38"/>
      <c r="AA12" s="38"/>
      <c r="AB12" s="39" t="s">
        <v>82</v>
      </c>
      <c r="AC12" s="38" t="s">
        <v>82</v>
      </c>
      <c r="AD12" s="86"/>
      <c r="AE12" s="38" t="s">
        <v>81</v>
      </c>
      <c r="AF12" s="39" t="s">
        <v>81</v>
      </c>
      <c r="AG12" s="39"/>
      <c r="AH12" s="39"/>
      <c r="AI12" s="33">
        <f t="shared" si="0"/>
        <v>2</v>
      </c>
      <c r="AJ12" s="34">
        <f t="shared" si="1"/>
        <v>2</v>
      </c>
    </row>
    <row r="13" spans="1:38">
      <c r="A13" s="61" t="s">
        <v>57</v>
      </c>
      <c r="B13" s="65" t="s">
        <v>58</v>
      </c>
      <c r="C13" s="22" t="s">
        <v>59</v>
      </c>
      <c r="D13" s="38" t="s">
        <v>82</v>
      </c>
      <c r="E13" s="38"/>
      <c r="F13" s="38"/>
      <c r="G13" s="38"/>
      <c r="H13" s="38"/>
      <c r="I13" s="38"/>
      <c r="J13" s="38"/>
      <c r="K13" s="38"/>
      <c r="L13" s="38"/>
      <c r="M13" s="38"/>
      <c r="N13" s="38" t="s">
        <v>82</v>
      </c>
      <c r="O13" s="38"/>
      <c r="P13" s="38"/>
      <c r="Q13" s="38"/>
      <c r="R13" s="85"/>
      <c r="S13" s="38"/>
      <c r="T13" s="38"/>
      <c r="U13" s="38"/>
      <c r="V13" s="38" t="s">
        <v>82</v>
      </c>
      <c r="W13" s="38" t="s">
        <v>82</v>
      </c>
      <c r="X13" s="38" t="s">
        <v>82</v>
      </c>
      <c r="Y13" s="38" t="s">
        <v>82</v>
      </c>
      <c r="Z13" s="38"/>
      <c r="AA13" s="38"/>
      <c r="AB13" s="38"/>
      <c r="AC13" s="35" t="s">
        <v>82</v>
      </c>
      <c r="AD13" s="86"/>
      <c r="AE13" s="35" t="s">
        <v>82</v>
      </c>
      <c r="AF13" s="35" t="s">
        <v>82</v>
      </c>
      <c r="AG13" s="39"/>
      <c r="AH13" s="39"/>
      <c r="AI13" s="33">
        <f t="shared" ref="AI13" si="2">COUNTIF(D13:AH13,"Leave")</f>
        <v>0</v>
      </c>
      <c r="AJ13" s="34">
        <f t="shared" ref="AJ13" si="3">COUNTIF(A13:AH13,"WFH")</f>
        <v>9</v>
      </c>
    </row>
    <row r="14" spans="1:38">
      <c r="A14" s="66"/>
      <c r="B14" s="66" t="s">
        <v>55</v>
      </c>
      <c r="C14" s="8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82</v>
      </c>
      <c r="O14" s="35" t="s">
        <v>82</v>
      </c>
      <c r="P14" s="35" t="s">
        <v>81</v>
      </c>
      <c r="Q14" s="35"/>
      <c r="R14" s="85"/>
      <c r="S14" s="35"/>
      <c r="T14" s="35"/>
      <c r="U14" s="35" t="s">
        <v>82</v>
      </c>
      <c r="V14" s="35" t="s">
        <v>82</v>
      </c>
      <c r="W14" s="35" t="s">
        <v>82</v>
      </c>
      <c r="X14" s="35" t="s">
        <v>82</v>
      </c>
      <c r="Y14" s="35" t="s">
        <v>82</v>
      </c>
      <c r="Z14" s="35"/>
      <c r="AA14" s="35"/>
      <c r="AB14" s="35"/>
      <c r="AC14" s="35"/>
      <c r="AD14" s="85"/>
      <c r="AE14" s="35"/>
      <c r="AF14" s="35"/>
      <c r="AG14" s="36"/>
      <c r="AH14" s="36"/>
      <c r="AI14" s="33">
        <f t="shared" si="0"/>
        <v>1</v>
      </c>
      <c r="AJ14" s="34">
        <f t="shared" si="1"/>
        <v>7</v>
      </c>
      <c r="AK14">
        <v>4</v>
      </c>
      <c r="AL14" t="s">
        <v>122</v>
      </c>
    </row>
    <row r="15" spans="1:38">
      <c r="A15" s="66"/>
      <c r="B15" s="66" t="s">
        <v>56</v>
      </c>
      <c r="C15" s="8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8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85"/>
      <c r="AE15" s="35"/>
      <c r="AF15" s="35"/>
      <c r="AG15" s="36"/>
      <c r="AH15" s="36"/>
      <c r="AI15" s="33">
        <f t="shared" si="0"/>
        <v>0</v>
      </c>
      <c r="AJ15" s="34">
        <f t="shared" si="1"/>
        <v>0</v>
      </c>
    </row>
    <row r="16" spans="1:38">
      <c r="A16" s="66"/>
      <c r="B16" s="66" t="s">
        <v>53</v>
      </c>
      <c r="C16" s="22" t="s">
        <v>59</v>
      </c>
      <c r="D16" s="35"/>
      <c r="E16" s="35"/>
      <c r="F16" s="35"/>
      <c r="G16" s="35" t="s">
        <v>82</v>
      </c>
      <c r="H16" s="35" t="s">
        <v>82</v>
      </c>
      <c r="I16" s="35"/>
      <c r="J16" s="35"/>
      <c r="K16" s="35"/>
      <c r="L16" s="35"/>
      <c r="M16" s="35"/>
      <c r="N16" s="35"/>
      <c r="O16" s="35"/>
      <c r="P16" s="35"/>
      <c r="Q16" s="35"/>
      <c r="R16" s="8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85"/>
      <c r="AE16" s="35"/>
      <c r="AF16" s="35"/>
      <c r="AG16" s="36"/>
      <c r="AH16" s="36"/>
      <c r="AI16" s="33">
        <f t="shared" ref="AI16" si="4">COUNTIF(D16:AH16,"Leave")</f>
        <v>0</v>
      </c>
      <c r="AJ16" s="34">
        <f t="shared" ref="AJ16" si="5">COUNTIF(A16:AH16,"WFH")</f>
        <v>2</v>
      </c>
    </row>
    <row r="17" spans="1:38">
      <c r="A17" s="66"/>
      <c r="B17" s="61" t="s">
        <v>60</v>
      </c>
      <c r="C17" s="1" t="s">
        <v>61</v>
      </c>
      <c r="D17" s="8" t="s">
        <v>81</v>
      </c>
      <c r="E17" s="8"/>
      <c r="F17" s="8"/>
      <c r="G17" s="8" t="s">
        <v>81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5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5"/>
      <c r="AE17" s="8"/>
      <c r="AF17" s="8"/>
      <c r="AG17" s="20"/>
      <c r="AH17" s="20"/>
      <c r="AI17" s="33">
        <f t="shared" si="0"/>
        <v>2</v>
      </c>
      <c r="AJ17" s="34">
        <f t="shared" si="1"/>
        <v>0</v>
      </c>
    </row>
    <row r="18" spans="1:38">
      <c r="A18" s="66"/>
      <c r="B18" s="61" t="s">
        <v>62</v>
      </c>
      <c r="C18" s="1" t="s">
        <v>63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5"/>
      <c r="S18" s="8"/>
      <c r="T18" s="8"/>
      <c r="U18" s="8"/>
      <c r="V18" s="8" t="s">
        <v>82</v>
      </c>
      <c r="W18" s="8"/>
      <c r="X18" s="8"/>
      <c r="Y18" s="8"/>
      <c r="Z18" s="8"/>
      <c r="AA18" s="8"/>
      <c r="AB18" s="8"/>
      <c r="AC18" s="8"/>
      <c r="AD18" s="85"/>
      <c r="AE18" s="8" t="s">
        <v>82</v>
      </c>
      <c r="AF18" s="8" t="s">
        <v>82</v>
      </c>
      <c r="AG18" s="20"/>
      <c r="AH18" s="20"/>
      <c r="AI18" s="33">
        <f t="shared" si="0"/>
        <v>0</v>
      </c>
      <c r="AJ18" s="34">
        <f t="shared" si="1"/>
        <v>3</v>
      </c>
      <c r="AL18" t="s">
        <v>121</v>
      </c>
    </row>
    <row r="19" spans="1:38">
      <c r="A19" s="66"/>
      <c r="B19" s="61" t="s">
        <v>64</v>
      </c>
      <c r="C19" s="1" t="s">
        <v>63</v>
      </c>
      <c r="D19" s="8"/>
      <c r="E19" s="8"/>
      <c r="F19" s="8"/>
      <c r="G19" s="8"/>
      <c r="H19" s="8"/>
      <c r="I19" s="8" t="s">
        <v>81</v>
      </c>
      <c r="J19" s="8"/>
      <c r="K19" s="8"/>
      <c r="L19" s="8"/>
      <c r="M19" s="8"/>
      <c r="N19" s="8"/>
      <c r="O19" s="8"/>
      <c r="P19" s="8"/>
      <c r="Q19" s="8"/>
      <c r="R19" s="85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5"/>
      <c r="AE19" s="8" t="s">
        <v>82</v>
      </c>
      <c r="AF19" s="8" t="s">
        <v>82</v>
      </c>
      <c r="AG19" s="20"/>
      <c r="AH19" s="20"/>
      <c r="AI19" s="33">
        <f t="shared" si="0"/>
        <v>1</v>
      </c>
      <c r="AJ19" s="34">
        <f t="shared" si="1"/>
        <v>2</v>
      </c>
    </row>
    <row r="20" spans="1:38">
      <c r="A20" s="66"/>
      <c r="B20" s="61" t="s">
        <v>65</v>
      </c>
      <c r="C20" s="1" t="s">
        <v>63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5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5"/>
      <c r="AE20" s="8"/>
      <c r="AF20" s="8"/>
      <c r="AG20" s="20"/>
      <c r="AH20" s="20"/>
      <c r="AI20" s="33">
        <f t="shared" si="0"/>
        <v>0</v>
      </c>
      <c r="AJ20" s="34">
        <f t="shared" si="1"/>
        <v>0</v>
      </c>
    </row>
    <row r="21" spans="1:38">
      <c r="A21" s="66"/>
      <c r="B21" s="61" t="s">
        <v>66</v>
      </c>
      <c r="C21" s="1" t="s">
        <v>67</v>
      </c>
      <c r="D21" s="8"/>
      <c r="E21" s="8"/>
      <c r="F21" s="8"/>
      <c r="G21" s="8"/>
      <c r="H21" s="8"/>
      <c r="I21" s="8"/>
      <c r="J21" s="8"/>
      <c r="K21" s="8" t="s">
        <v>81</v>
      </c>
      <c r="L21" s="8"/>
      <c r="M21" s="8"/>
      <c r="N21" s="8"/>
      <c r="O21" s="8"/>
      <c r="P21" s="8"/>
      <c r="Q21" s="8"/>
      <c r="R21" s="85"/>
      <c r="S21" s="8"/>
      <c r="T21" s="8"/>
      <c r="U21" s="8"/>
      <c r="V21" s="8"/>
      <c r="W21" s="8"/>
      <c r="X21" s="8"/>
      <c r="Y21" s="28"/>
      <c r="Z21" s="8"/>
      <c r="AA21" s="8"/>
      <c r="AB21" s="8"/>
      <c r="AC21" s="8"/>
      <c r="AD21" s="85"/>
      <c r="AE21" s="8"/>
      <c r="AF21" s="8" t="s">
        <v>82</v>
      </c>
      <c r="AG21" s="20"/>
      <c r="AH21" s="20"/>
      <c r="AI21" s="33">
        <f t="shared" si="0"/>
        <v>1</v>
      </c>
      <c r="AJ21" s="34">
        <f t="shared" si="1"/>
        <v>1</v>
      </c>
    </row>
    <row r="22" spans="1:38">
      <c r="A22" s="66"/>
      <c r="B22" s="61" t="s">
        <v>68</v>
      </c>
      <c r="C22" s="1" t="s">
        <v>67</v>
      </c>
      <c r="D22" s="8"/>
      <c r="E22" s="8"/>
      <c r="F22" s="8"/>
      <c r="G22" s="8"/>
      <c r="H22" s="8" t="s">
        <v>82</v>
      </c>
      <c r="I22" s="8"/>
      <c r="J22" s="8"/>
      <c r="K22" s="8" t="s">
        <v>81</v>
      </c>
      <c r="L22" s="8"/>
      <c r="M22" s="8"/>
      <c r="N22" s="8"/>
      <c r="O22" s="8" t="s">
        <v>81</v>
      </c>
      <c r="P22" s="8"/>
      <c r="Q22" s="8"/>
      <c r="R22" s="85"/>
      <c r="S22" s="8"/>
      <c r="T22" s="8"/>
      <c r="U22" s="8" t="s">
        <v>82</v>
      </c>
      <c r="V22" s="8" t="s">
        <v>81</v>
      </c>
      <c r="W22" s="8"/>
      <c r="Y22" s="8" t="s">
        <v>82</v>
      </c>
      <c r="Z22" s="55"/>
      <c r="AA22" s="8"/>
      <c r="AB22" s="8" t="s">
        <v>81</v>
      </c>
      <c r="AC22" s="8"/>
      <c r="AD22" s="85"/>
      <c r="AE22" s="8" t="s">
        <v>82</v>
      </c>
      <c r="AF22" s="8" t="s">
        <v>82</v>
      </c>
      <c r="AG22" s="20"/>
      <c r="AH22" s="20"/>
      <c r="AI22" s="33">
        <f t="shared" si="0"/>
        <v>4</v>
      </c>
      <c r="AJ22" s="34">
        <f t="shared" si="1"/>
        <v>5</v>
      </c>
      <c r="AK22">
        <f>AL22-(1.5+2)</f>
        <v>5.5</v>
      </c>
      <c r="AL22">
        <v>9</v>
      </c>
    </row>
    <row r="23" spans="1:38">
      <c r="A23" s="66"/>
      <c r="B23" s="61" t="s">
        <v>69</v>
      </c>
      <c r="C23" s="1" t="s">
        <v>67</v>
      </c>
      <c r="D23" s="28"/>
      <c r="E23" s="28"/>
      <c r="F23" s="28"/>
      <c r="G23" s="8"/>
      <c r="H23" s="8"/>
      <c r="I23" s="8" t="s">
        <v>82</v>
      </c>
      <c r="J23" s="8"/>
      <c r="K23" s="8"/>
      <c r="L23" s="8"/>
      <c r="M23" s="8"/>
      <c r="N23" s="8"/>
      <c r="O23" s="8" t="s">
        <v>81</v>
      </c>
      <c r="P23" s="8" t="s">
        <v>81</v>
      </c>
      <c r="Q23" s="28"/>
      <c r="R23" s="85"/>
      <c r="S23" s="8"/>
      <c r="T23" s="8"/>
      <c r="U23" s="8"/>
      <c r="V23" s="8"/>
      <c r="W23" s="8"/>
      <c r="X23" s="8"/>
      <c r="Y23" s="69"/>
      <c r="Z23" s="8"/>
      <c r="AA23" s="8"/>
      <c r="AB23" s="8"/>
      <c r="AC23" s="8"/>
      <c r="AD23" s="85"/>
      <c r="AE23" s="8" t="s">
        <v>82</v>
      </c>
      <c r="AF23" s="8"/>
      <c r="AG23" s="20"/>
      <c r="AH23" s="20"/>
      <c r="AI23" s="33">
        <f t="shared" si="0"/>
        <v>2</v>
      </c>
      <c r="AJ23" s="34">
        <f t="shared" si="1"/>
        <v>2</v>
      </c>
    </row>
    <row r="24" spans="1:38">
      <c r="A24" s="65"/>
      <c r="B24" s="67" t="s">
        <v>70</v>
      </c>
      <c r="C24" s="27" t="s">
        <v>71</v>
      </c>
      <c r="D24" s="8"/>
      <c r="E24" s="8"/>
      <c r="F24" s="8"/>
      <c r="G24" s="54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85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86"/>
      <c r="AE24" s="28" t="s">
        <v>82</v>
      </c>
      <c r="AF24" s="28" t="s">
        <v>82</v>
      </c>
      <c r="AG24" s="29"/>
      <c r="AH24" s="29"/>
      <c r="AI24" s="42">
        <f t="shared" si="0"/>
        <v>0</v>
      </c>
      <c r="AJ24" s="43">
        <f t="shared" si="1"/>
        <v>2</v>
      </c>
    </row>
    <row r="25" spans="1:38">
      <c r="A25" s="66"/>
      <c r="B25" s="66" t="s">
        <v>72</v>
      </c>
      <c r="C25" s="22" t="s">
        <v>73</v>
      </c>
      <c r="D25" s="35" t="s">
        <v>81</v>
      </c>
      <c r="E25" s="35"/>
      <c r="F25" s="35"/>
      <c r="G25" s="55" t="s">
        <v>81</v>
      </c>
      <c r="H25" s="55" t="s">
        <v>81</v>
      </c>
      <c r="I25" s="8" t="s">
        <v>82</v>
      </c>
      <c r="J25" s="8" t="s">
        <v>82</v>
      </c>
      <c r="K25" s="8" t="s">
        <v>82</v>
      </c>
      <c r="L25" s="8"/>
      <c r="M25" s="8"/>
      <c r="N25" s="8" t="s">
        <v>82</v>
      </c>
      <c r="O25" s="8" t="s">
        <v>82</v>
      </c>
      <c r="P25" s="8" t="s">
        <v>82</v>
      </c>
      <c r="Q25" s="8" t="s">
        <v>82</v>
      </c>
      <c r="R25" s="85" t="s">
        <v>82</v>
      </c>
      <c r="S25" s="8"/>
      <c r="T25" s="8"/>
      <c r="U25" s="8" t="s">
        <v>81</v>
      </c>
      <c r="V25" s="8" t="s">
        <v>81</v>
      </c>
      <c r="W25" s="8" t="s">
        <v>81</v>
      </c>
      <c r="X25" s="8" t="s">
        <v>81</v>
      </c>
      <c r="Y25" s="8" t="s">
        <v>81</v>
      </c>
      <c r="Z25" s="8"/>
      <c r="AA25" s="8"/>
      <c r="AB25" s="8" t="s">
        <v>81</v>
      </c>
      <c r="AC25" s="8" t="s">
        <v>81</v>
      </c>
      <c r="AD25" s="85" t="s">
        <v>81</v>
      </c>
      <c r="AE25" s="8" t="s">
        <v>81</v>
      </c>
      <c r="AF25" s="8" t="s">
        <v>81</v>
      </c>
      <c r="AG25" s="8"/>
      <c r="AH25" s="8"/>
      <c r="AI25" s="34">
        <f t="shared" si="0"/>
        <v>13</v>
      </c>
      <c r="AJ25" s="34">
        <f t="shared" si="1"/>
        <v>8</v>
      </c>
      <c r="AL25" t="s">
        <v>123</v>
      </c>
    </row>
    <row r="26" spans="1:38">
      <c r="AD26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FAE0-2DE1-43F5-8E8B-429833586FA1}">
  <dimension ref="A1:AK25"/>
  <sheetViews>
    <sheetView workbookViewId="0">
      <pane ySplit="1" topLeftCell="A4" activePane="bottomLeft" state="frozen"/>
      <selection pane="bottomLeft" activeCell="AK19" sqref="AK19"/>
    </sheetView>
  </sheetViews>
  <sheetFormatPr defaultColWidth="9.140625" defaultRowHeight="15"/>
  <cols>
    <col min="2" max="2" width="27.42578125" bestFit="1" customWidth="1"/>
    <col min="3" max="3" width="16.140625" customWidth="1"/>
    <col min="4" max="33" width="9.140625" bestFit="1" customWidth="1"/>
    <col min="37" max="37" width="28.7109375" bestFit="1" customWidth="1"/>
  </cols>
  <sheetData>
    <row r="1" spans="1:37" s="70" customFormat="1">
      <c r="A1" s="70" t="s">
        <v>0</v>
      </c>
      <c r="B1" s="70" t="s">
        <v>1</v>
      </c>
      <c r="C1" s="70" t="s">
        <v>2</v>
      </c>
      <c r="D1" s="71">
        <v>45901</v>
      </c>
      <c r="E1" s="71">
        <v>45902</v>
      </c>
      <c r="F1" s="71">
        <v>45903</v>
      </c>
      <c r="G1" s="71">
        <v>45904</v>
      </c>
      <c r="H1" s="71">
        <v>45905</v>
      </c>
      <c r="I1" s="23">
        <v>45906</v>
      </c>
      <c r="J1" s="23">
        <v>45907</v>
      </c>
      <c r="K1" s="71">
        <v>45908</v>
      </c>
      <c r="L1" s="71">
        <v>45909</v>
      </c>
      <c r="M1" s="71">
        <v>45910</v>
      </c>
      <c r="N1" s="71">
        <v>45911</v>
      </c>
      <c r="O1" s="71">
        <v>45912</v>
      </c>
      <c r="P1" s="23">
        <v>45913</v>
      </c>
      <c r="Q1" s="23">
        <v>45914</v>
      </c>
      <c r="R1" s="71">
        <v>45915</v>
      </c>
      <c r="S1" s="71">
        <v>45916</v>
      </c>
      <c r="T1" s="71">
        <v>45917</v>
      </c>
      <c r="U1" s="71">
        <v>45918</v>
      </c>
      <c r="V1" s="71">
        <v>45919</v>
      </c>
      <c r="W1" s="23">
        <v>45920</v>
      </c>
      <c r="X1" s="23">
        <v>45921</v>
      </c>
      <c r="Y1" s="71">
        <v>45922</v>
      </c>
      <c r="Z1" s="71">
        <v>45923</v>
      </c>
      <c r="AA1" s="71">
        <v>45924</v>
      </c>
      <c r="AB1" s="71">
        <v>45925</v>
      </c>
      <c r="AC1" s="71">
        <v>45926</v>
      </c>
      <c r="AD1" s="23">
        <v>45927</v>
      </c>
      <c r="AE1" s="23">
        <v>45928</v>
      </c>
      <c r="AF1" s="71">
        <v>45929</v>
      </c>
      <c r="AG1" s="71">
        <v>45930</v>
      </c>
      <c r="AH1" s="72" t="s">
        <v>81</v>
      </c>
      <c r="AI1" s="73" t="s">
        <v>82</v>
      </c>
      <c r="AJ1" s="74" t="s">
        <v>20</v>
      </c>
      <c r="AK1" s="70" t="s">
        <v>120</v>
      </c>
    </row>
    <row r="2" spans="1:37">
      <c r="A2" s="60" t="s">
        <v>21</v>
      </c>
      <c r="B2" s="61" t="s">
        <v>22</v>
      </c>
      <c r="C2" s="20" t="s">
        <v>23</v>
      </c>
      <c r="D2" s="35"/>
      <c r="E2" s="35"/>
      <c r="F2" s="35"/>
      <c r="G2" s="35"/>
      <c r="H2" s="35" t="s">
        <v>82</v>
      </c>
      <c r="I2" s="75"/>
      <c r="J2" s="75"/>
      <c r="K2" s="35" t="s">
        <v>82</v>
      </c>
      <c r="L2" s="35"/>
      <c r="M2" s="35"/>
      <c r="N2" s="35"/>
      <c r="O2" s="35"/>
      <c r="P2" s="75"/>
      <c r="Q2" s="75"/>
      <c r="R2" s="35"/>
      <c r="S2" s="35"/>
      <c r="T2" s="35" t="s">
        <v>82</v>
      </c>
      <c r="U2" s="35"/>
      <c r="V2" s="35" t="s">
        <v>82</v>
      </c>
      <c r="W2" s="75"/>
      <c r="X2" s="75"/>
      <c r="Y2" s="35"/>
      <c r="Z2" s="35"/>
      <c r="AA2" s="35" t="s">
        <v>82</v>
      </c>
      <c r="AB2" s="35"/>
      <c r="AC2" s="35"/>
      <c r="AD2" s="75"/>
      <c r="AE2" s="75"/>
      <c r="AF2" s="36"/>
      <c r="AG2" s="35"/>
      <c r="AH2" s="33">
        <f>COUNTIF(D2:AG2,"Leave")</f>
        <v>0</v>
      </c>
      <c r="AI2" s="34">
        <f>COUNTIF(A2:AG2,"WFH")</f>
        <v>5</v>
      </c>
    </row>
    <row r="3" spans="1:37">
      <c r="A3" s="60" t="s">
        <v>24</v>
      </c>
      <c r="B3" s="61" t="s">
        <v>25</v>
      </c>
      <c r="C3" s="20" t="s">
        <v>26</v>
      </c>
      <c r="D3" s="35"/>
      <c r="E3" s="35"/>
      <c r="F3" s="35"/>
      <c r="G3" s="35"/>
      <c r="H3" s="35" t="s">
        <v>82</v>
      </c>
      <c r="I3" s="75"/>
      <c r="J3" s="75"/>
      <c r="K3" s="35" t="s">
        <v>81</v>
      </c>
      <c r="L3" s="35" t="s">
        <v>81</v>
      </c>
      <c r="M3" s="35"/>
      <c r="N3" s="35"/>
      <c r="O3" s="35"/>
      <c r="P3" s="75"/>
      <c r="Q3" s="75"/>
      <c r="R3" s="35"/>
      <c r="S3" s="35"/>
      <c r="T3" s="35"/>
      <c r="U3" s="35"/>
      <c r="V3" s="35"/>
      <c r="W3" s="75"/>
      <c r="X3" s="75"/>
      <c r="Y3" s="35"/>
      <c r="Z3" s="35"/>
      <c r="AA3" s="35"/>
      <c r="AB3" s="36"/>
      <c r="AC3" s="35"/>
      <c r="AD3" s="75"/>
      <c r="AE3" s="75"/>
      <c r="AF3" s="36"/>
      <c r="AG3" s="35"/>
      <c r="AH3" s="33">
        <f>COUNTIF(D3:AG3,"Leave")</f>
        <v>2</v>
      </c>
      <c r="AI3" s="34">
        <f>COUNTIF(A3:AG3,"WFH")</f>
        <v>1</v>
      </c>
    </row>
    <row r="4" spans="1:37">
      <c r="A4" s="60" t="s">
        <v>27</v>
      </c>
      <c r="B4" s="61" t="s">
        <v>28</v>
      </c>
      <c r="C4" s="22" t="s">
        <v>29</v>
      </c>
      <c r="D4" s="35" t="s">
        <v>82</v>
      </c>
      <c r="E4" s="35"/>
      <c r="F4" s="35"/>
      <c r="G4" s="35" t="s">
        <v>82</v>
      </c>
      <c r="H4" s="35"/>
      <c r="I4" s="75"/>
      <c r="J4" s="75"/>
      <c r="K4" s="35" t="s">
        <v>82</v>
      </c>
      <c r="L4" s="35"/>
      <c r="M4" s="35"/>
      <c r="N4" s="35" t="s">
        <v>82</v>
      </c>
      <c r="O4" s="35" t="s">
        <v>82</v>
      </c>
      <c r="P4" s="75"/>
      <c r="Q4" s="75"/>
      <c r="R4" s="35" t="s">
        <v>82</v>
      </c>
      <c r="S4" s="35"/>
      <c r="T4" s="35"/>
      <c r="U4" s="35"/>
      <c r="V4" s="35"/>
      <c r="W4" s="75"/>
      <c r="X4" s="75"/>
      <c r="Y4" s="35"/>
      <c r="Z4" s="35"/>
      <c r="AA4" s="35"/>
      <c r="AB4" s="36" t="s">
        <v>82</v>
      </c>
      <c r="AC4" s="35"/>
      <c r="AD4" s="75"/>
      <c r="AE4" s="75"/>
      <c r="AF4" s="35" t="s">
        <v>82</v>
      </c>
      <c r="AG4" s="35"/>
      <c r="AH4" s="33">
        <f>COUNTIF(D4:AG4,"Leave")</f>
        <v>0</v>
      </c>
      <c r="AI4" s="34">
        <f>COUNTIF(A4:AG4,"WFH")</f>
        <v>8</v>
      </c>
    </row>
    <row r="5" spans="1:37">
      <c r="A5" s="60" t="s">
        <v>30</v>
      </c>
      <c r="B5" s="61" t="s">
        <v>31</v>
      </c>
      <c r="C5" s="22" t="s">
        <v>29</v>
      </c>
      <c r="D5" s="35" t="s">
        <v>82</v>
      </c>
      <c r="E5" s="35"/>
      <c r="F5" s="35"/>
      <c r="G5" s="35" t="s">
        <v>82</v>
      </c>
      <c r="H5" s="35"/>
      <c r="I5" s="75"/>
      <c r="J5" s="75"/>
      <c r="K5" s="35" t="s">
        <v>82</v>
      </c>
      <c r="L5" s="35"/>
      <c r="M5" s="35" t="s">
        <v>82</v>
      </c>
      <c r="N5" s="35" t="s">
        <v>82</v>
      </c>
      <c r="O5" s="35"/>
      <c r="P5" s="75"/>
      <c r="Q5" s="75"/>
      <c r="R5" s="35" t="s">
        <v>82</v>
      </c>
      <c r="S5" s="35"/>
      <c r="T5" s="35"/>
      <c r="U5" s="35"/>
      <c r="V5" s="35"/>
      <c r="W5" s="75"/>
      <c r="X5" s="75"/>
      <c r="Y5" s="35"/>
      <c r="Z5" s="35"/>
      <c r="AA5" s="35" t="s">
        <v>82</v>
      </c>
      <c r="AB5" s="36"/>
      <c r="AC5" s="35"/>
      <c r="AD5" s="75"/>
      <c r="AE5" s="75"/>
      <c r="AF5" s="35"/>
      <c r="AG5" s="35"/>
      <c r="AH5" s="33">
        <f>COUNTIF(D5:AG5,"Leave")</f>
        <v>0</v>
      </c>
      <c r="AI5" s="34">
        <f>COUNTIF(A5:AG5,"WFH")</f>
        <v>7</v>
      </c>
    </row>
    <row r="6" spans="1:37">
      <c r="A6" s="62" t="s">
        <v>32</v>
      </c>
      <c r="B6" s="61" t="s">
        <v>33</v>
      </c>
      <c r="C6" s="22" t="s">
        <v>34</v>
      </c>
      <c r="D6" s="35"/>
      <c r="E6" s="35" t="s">
        <v>82</v>
      </c>
      <c r="F6" s="35"/>
      <c r="G6" s="35"/>
      <c r="H6" s="35"/>
      <c r="I6" s="75"/>
      <c r="J6" s="75"/>
      <c r="K6" s="35"/>
      <c r="L6" s="35"/>
      <c r="M6" s="35"/>
      <c r="N6" s="35"/>
      <c r="O6" s="35"/>
      <c r="P6" s="75"/>
      <c r="Q6" s="75"/>
      <c r="R6" s="35"/>
      <c r="S6" s="35"/>
      <c r="T6" s="35"/>
      <c r="U6" s="35"/>
      <c r="V6" s="35"/>
      <c r="W6" s="75"/>
      <c r="X6" s="75"/>
      <c r="Y6" s="35"/>
      <c r="Z6" s="35"/>
      <c r="AA6" s="35"/>
      <c r="AB6" s="36"/>
      <c r="AC6" s="35"/>
      <c r="AD6" s="75"/>
      <c r="AE6" s="75"/>
      <c r="AF6" s="36"/>
      <c r="AG6" s="35" t="s">
        <v>82</v>
      </c>
      <c r="AH6" s="33">
        <f>COUNTIF(D6:AG6,"Leave")</f>
        <v>0</v>
      </c>
      <c r="AI6" s="34">
        <f>COUNTIF(A6:AG6,"WFH")</f>
        <v>2</v>
      </c>
    </row>
    <row r="7" spans="1:37">
      <c r="A7" s="63" t="s">
        <v>35</v>
      </c>
      <c r="B7" s="61" t="s">
        <v>36</v>
      </c>
      <c r="C7" s="22" t="s">
        <v>37</v>
      </c>
      <c r="D7" s="35" t="s">
        <v>82</v>
      </c>
      <c r="E7" s="35" t="s">
        <v>124</v>
      </c>
      <c r="F7" s="35"/>
      <c r="G7" s="35" t="s">
        <v>124</v>
      </c>
      <c r="H7" s="35" t="s">
        <v>82</v>
      </c>
      <c r="I7" s="75"/>
      <c r="J7" s="75"/>
      <c r="K7" s="35" t="s">
        <v>81</v>
      </c>
      <c r="L7" s="35"/>
      <c r="M7" s="35"/>
      <c r="N7" s="35"/>
      <c r="O7" s="35"/>
      <c r="P7" s="75"/>
      <c r="Q7" s="75"/>
      <c r="R7" s="35" t="s">
        <v>81</v>
      </c>
      <c r="S7" s="35" t="s">
        <v>124</v>
      </c>
      <c r="T7" s="35"/>
      <c r="U7" s="35"/>
      <c r="V7" s="35"/>
      <c r="W7" s="75"/>
      <c r="X7" s="75"/>
      <c r="Y7" s="35"/>
      <c r="Z7" s="35"/>
      <c r="AA7" s="35"/>
      <c r="AB7" s="36"/>
      <c r="AC7" s="35"/>
      <c r="AD7" s="75"/>
      <c r="AE7" s="75"/>
      <c r="AF7" s="36"/>
      <c r="AG7" s="35"/>
      <c r="AH7" s="33">
        <f>COUNTIF(D7:AG7,"Leave")</f>
        <v>2</v>
      </c>
      <c r="AI7" s="34">
        <f>COUNTIF(A7:AG7,"WFH")</f>
        <v>2</v>
      </c>
      <c r="AK7" t="s">
        <v>125</v>
      </c>
    </row>
    <row r="8" spans="1:37">
      <c r="A8" s="64" t="s">
        <v>38</v>
      </c>
      <c r="B8" s="61" t="s">
        <v>39</v>
      </c>
      <c r="C8" s="27" t="s">
        <v>40</v>
      </c>
      <c r="D8" s="35"/>
      <c r="E8" s="35"/>
      <c r="F8" s="35"/>
      <c r="G8" s="35"/>
      <c r="H8" s="35"/>
      <c r="I8" s="75"/>
      <c r="J8" s="75"/>
      <c r="K8" s="35"/>
      <c r="L8" s="35"/>
      <c r="M8" s="35"/>
      <c r="N8" s="35"/>
      <c r="O8" s="35"/>
      <c r="P8" s="75"/>
      <c r="Q8" s="75"/>
      <c r="R8" s="35"/>
      <c r="S8" s="35"/>
      <c r="T8" s="35"/>
      <c r="U8" s="35"/>
      <c r="V8" s="35" t="s">
        <v>82</v>
      </c>
      <c r="W8" s="75"/>
      <c r="X8" s="75"/>
      <c r="Y8" s="35"/>
      <c r="Z8" s="35"/>
      <c r="AA8" s="35"/>
      <c r="AB8" s="36"/>
      <c r="AC8" s="35"/>
      <c r="AD8" s="75"/>
      <c r="AE8" s="75"/>
      <c r="AF8" s="36"/>
      <c r="AG8" s="36"/>
      <c r="AH8" s="33">
        <f>COUNTIF(D8:AG8,"Leave")</f>
        <v>0</v>
      </c>
      <c r="AI8" s="34">
        <f>COUNTIF(A8:AG8,"WFH")</f>
        <v>1</v>
      </c>
    </row>
    <row r="9" spans="1:37">
      <c r="A9" s="64" t="s">
        <v>41</v>
      </c>
      <c r="B9" s="61" t="s">
        <v>42</v>
      </c>
      <c r="C9" s="22" t="s">
        <v>43</v>
      </c>
      <c r="D9" s="35"/>
      <c r="E9" s="35"/>
      <c r="F9" s="35"/>
      <c r="G9" s="35"/>
      <c r="H9" s="35"/>
      <c r="I9" s="75"/>
      <c r="J9" s="75"/>
      <c r="K9" s="35"/>
      <c r="L9" s="35"/>
      <c r="M9" s="35"/>
      <c r="N9" s="35"/>
      <c r="O9" s="35"/>
      <c r="P9" s="75"/>
      <c r="Q9" s="75"/>
      <c r="R9" s="35"/>
      <c r="S9" s="35"/>
      <c r="T9" s="35"/>
      <c r="U9" s="35"/>
      <c r="V9" s="35"/>
      <c r="W9" s="75"/>
      <c r="X9" s="75"/>
      <c r="Y9" s="35"/>
      <c r="Z9" s="35" t="s">
        <v>81</v>
      </c>
      <c r="AA9" s="35"/>
      <c r="AB9" s="36"/>
      <c r="AC9" s="35"/>
      <c r="AD9" s="75"/>
      <c r="AE9" s="75"/>
      <c r="AF9" s="36"/>
      <c r="AG9" s="36"/>
      <c r="AH9" s="33">
        <f>COUNTIF(D9:AG9,"Leave")</f>
        <v>1</v>
      </c>
      <c r="AI9" s="34">
        <f>COUNTIF(A9:AG9,"WFH")</f>
        <v>0</v>
      </c>
    </row>
    <row r="10" spans="1:37">
      <c r="A10" s="64" t="s">
        <v>44</v>
      </c>
      <c r="B10" s="61" t="s">
        <v>45</v>
      </c>
      <c r="C10" s="22" t="s">
        <v>46</v>
      </c>
      <c r="D10" s="38"/>
      <c r="E10" s="38"/>
      <c r="F10" s="38"/>
      <c r="G10" s="38"/>
      <c r="H10" s="38"/>
      <c r="I10" s="75"/>
      <c r="J10" s="75"/>
      <c r="K10" s="38"/>
      <c r="L10" s="38"/>
      <c r="M10" s="38"/>
      <c r="N10" s="38"/>
      <c r="O10" s="38"/>
      <c r="P10" s="75"/>
      <c r="Q10" s="75"/>
      <c r="R10" s="35"/>
      <c r="S10" s="38"/>
      <c r="T10" s="38"/>
      <c r="U10" s="38"/>
      <c r="V10" s="38"/>
      <c r="W10" s="75"/>
      <c r="X10" s="75"/>
      <c r="Y10" s="38"/>
      <c r="Z10" s="38"/>
      <c r="AA10" s="38"/>
      <c r="AB10" s="39"/>
      <c r="AC10" s="38"/>
      <c r="AD10" s="75"/>
      <c r="AE10" s="75"/>
      <c r="AF10" s="39"/>
      <c r="AG10" s="39" t="s">
        <v>82</v>
      </c>
      <c r="AH10" s="33">
        <f>COUNTIF(D10:AG10,"Leave")</f>
        <v>0</v>
      </c>
      <c r="AI10" s="34">
        <f>COUNTIF(A10:AG10,"WFH")</f>
        <v>1</v>
      </c>
    </row>
    <row r="11" spans="1:37">
      <c r="A11" s="62" t="s">
        <v>47</v>
      </c>
      <c r="B11" s="61" t="s">
        <v>48</v>
      </c>
      <c r="C11" s="22" t="s">
        <v>49</v>
      </c>
      <c r="D11" s="38"/>
      <c r="E11" s="38"/>
      <c r="F11" s="38"/>
      <c r="G11" s="38"/>
      <c r="H11" s="38" t="s">
        <v>81</v>
      </c>
      <c r="I11" s="75"/>
      <c r="J11" s="75"/>
      <c r="K11" s="38" t="s">
        <v>82</v>
      </c>
      <c r="L11" s="38"/>
      <c r="M11" s="38"/>
      <c r="N11" s="38"/>
      <c r="O11" s="38"/>
      <c r="P11" s="75"/>
      <c r="Q11" s="75"/>
      <c r="R11" s="35" t="s">
        <v>81</v>
      </c>
      <c r="S11" s="38"/>
      <c r="T11" s="38"/>
      <c r="U11" s="8"/>
      <c r="V11" s="38"/>
      <c r="W11" s="75"/>
      <c r="X11" s="75"/>
      <c r="Y11" s="38"/>
      <c r="Z11" s="38"/>
      <c r="AA11" s="38"/>
      <c r="AB11" s="39"/>
      <c r="AC11" s="38"/>
      <c r="AD11" s="75"/>
      <c r="AE11" s="75"/>
      <c r="AF11" s="39" t="s">
        <v>82</v>
      </c>
      <c r="AG11" s="39"/>
      <c r="AH11" s="33">
        <f>COUNTIF(D11:AG11,"Leave")</f>
        <v>2</v>
      </c>
      <c r="AI11" s="34">
        <f>COUNTIF(A11:AG11,"WFH")</f>
        <v>2</v>
      </c>
    </row>
    <row r="12" spans="1:37">
      <c r="A12" s="61" t="s">
        <v>50</v>
      </c>
      <c r="B12" s="61" t="s">
        <v>51</v>
      </c>
      <c r="C12" s="22" t="s">
        <v>52</v>
      </c>
      <c r="D12" s="38"/>
      <c r="E12" s="38"/>
      <c r="F12" s="38"/>
      <c r="G12" s="38"/>
      <c r="H12" s="38" t="s">
        <v>82</v>
      </c>
      <c r="I12" s="75"/>
      <c r="J12" s="75"/>
      <c r="K12" s="38"/>
      <c r="L12" s="38"/>
      <c r="M12" s="38"/>
      <c r="N12" s="38"/>
      <c r="O12" s="38"/>
      <c r="P12" s="75"/>
      <c r="Q12" s="75"/>
      <c r="R12" s="35"/>
      <c r="S12" s="38"/>
      <c r="T12" s="38"/>
      <c r="U12" s="38"/>
      <c r="V12" s="38"/>
      <c r="W12" s="75"/>
      <c r="X12" s="75"/>
      <c r="Y12" s="38"/>
      <c r="Z12" s="38"/>
      <c r="AA12" s="38"/>
      <c r="AB12" s="39"/>
      <c r="AC12" s="38"/>
      <c r="AD12" s="75"/>
      <c r="AE12" s="75"/>
      <c r="AF12" s="39"/>
      <c r="AG12" s="39"/>
      <c r="AH12" s="33">
        <f>COUNTIF(D12:AG12,"Leave")</f>
        <v>0</v>
      </c>
      <c r="AI12" s="34">
        <f>COUNTIF(A12:AG12,"WFH")</f>
        <v>1</v>
      </c>
    </row>
    <row r="13" spans="1:37">
      <c r="A13" s="66"/>
      <c r="B13" s="66" t="s">
        <v>55</v>
      </c>
      <c r="C13" s="8"/>
      <c r="D13" s="35"/>
      <c r="E13" s="35"/>
      <c r="F13" s="35"/>
      <c r="G13" s="35"/>
      <c r="H13" s="35" t="s">
        <v>82</v>
      </c>
      <c r="I13" s="75"/>
      <c r="J13" s="75"/>
      <c r="K13" s="35" t="s">
        <v>82</v>
      </c>
      <c r="L13" s="35"/>
      <c r="M13" s="35"/>
      <c r="N13" s="35"/>
      <c r="O13" s="35"/>
      <c r="P13" s="75"/>
      <c r="Q13" s="75"/>
      <c r="R13" s="35"/>
      <c r="S13" s="35"/>
      <c r="T13" s="35"/>
      <c r="U13" s="35"/>
      <c r="V13" s="35"/>
      <c r="W13" s="75"/>
      <c r="X13" s="75"/>
      <c r="Y13" s="35"/>
      <c r="Z13" s="35"/>
      <c r="AA13" s="35"/>
      <c r="AB13" s="35"/>
      <c r="AC13" s="35"/>
      <c r="AD13" s="75"/>
      <c r="AE13" s="75"/>
      <c r="AF13" s="35"/>
      <c r="AG13" s="36"/>
      <c r="AH13" s="33">
        <f>COUNTIF(D13:AG13,"Leave")</f>
        <v>0</v>
      </c>
      <c r="AI13" s="34">
        <f>COUNTIF(A13:AG13,"WFH")</f>
        <v>2</v>
      </c>
    </row>
    <row r="14" spans="1:37">
      <c r="A14" s="66"/>
      <c r="B14" s="66" t="s">
        <v>56</v>
      </c>
      <c r="C14" s="8"/>
      <c r="D14" s="35"/>
      <c r="E14" s="35"/>
      <c r="F14" s="35"/>
      <c r="G14" s="35"/>
      <c r="H14" s="35"/>
      <c r="I14" s="75"/>
      <c r="J14" s="75"/>
      <c r="K14" s="35"/>
      <c r="L14" s="35"/>
      <c r="M14" s="35"/>
      <c r="N14" s="35"/>
      <c r="O14" s="35"/>
      <c r="P14" s="75"/>
      <c r="Q14" s="75"/>
      <c r="R14" s="35"/>
      <c r="S14" s="35"/>
      <c r="T14" s="35"/>
      <c r="U14" s="35"/>
      <c r="V14" s="35"/>
      <c r="W14" s="75"/>
      <c r="X14" s="75"/>
      <c r="Y14" s="35"/>
      <c r="Z14" s="35"/>
      <c r="AA14" s="35"/>
      <c r="AB14" s="35"/>
      <c r="AC14" s="35"/>
      <c r="AD14" s="75"/>
      <c r="AE14" s="75"/>
      <c r="AF14" s="35"/>
      <c r="AG14" s="36"/>
      <c r="AH14" s="33">
        <f>COUNTIF(D14:AG14,"Leave")</f>
        <v>0</v>
      </c>
      <c r="AI14" s="34">
        <f>COUNTIF(A14:AG14,"WFH")</f>
        <v>0</v>
      </c>
    </row>
    <row r="15" spans="1:37">
      <c r="A15" s="66"/>
      <c r="B15" s="66" t="s">
        <v>53</v>
      </c>
      <c r="C15" s="22" t="s">
        <v>59</v>
      </c>
      <c r="D15" s="35"/>
      <c r="E15" s="35" t="s">
        <v>81</v>
      </c>
      <c r="F15" s="35"/>
      <c r="G15" s="35"/>
      <c r="H15" s="35"/>
      <c r="I15" s="75"/>
      <c r="J15" s="75"/>
      <c r="K15" s="35"/>
      <c r="L15" s="35"/>
      <c r="M15" s="35"/>
      <c r="N15" s="35"/>
      <c r="O15" s="35"/>
      <c r="P15" s="75"/>
      <c r="Q15" s="75"/>
      <c r="R15" s="35"/>
      <c r="S15" s="35"/>
      <c r="T15" s="35"/>
      <c r="U15" s="35"/>
      <c r="V15" s="35"/>
      <c r="W15" s="75"/>
      <c r="X15" s="75"/>
      <c r="Y15" s="35"/>
      <c r="Z15" s="35"/>
      <c r="AA15" s="35"/>
      <c r="AB15" s="35"/>
      <c r="AC15" s="35"/>
      <c r="AD15" s="75"/>
      <c r="AE15" s="75"/>
      <c r="AF15" s="35"/>
      <c r="AG15" s="36"/>
      <c r="AH15" s="33">
        <f>COUNTIF(D15:AG15,"Leave")</f>
        <v>1</v>
      </c>
      <c r="AI15" s="34">
        <f>COUNTIF(A15:AG15,"WFH")</f>
        <v>0</v>
      </c>
    </row>
    <row r="16" spans="1:37">
      <c r="A16" s="66"/>
      <c r="B16" s="61" t="s">
        <v>60</v>
      </c>
      <c r="C16" s="1" t="s">
        <v>61</v>
      </c>
      <c r="D16" s="8"/>
      <c r="E16" s="8"/>
      <c r="F16" s="8"/>
      <c r="G16" s="8"/>
      <c r="H16" s="8"/>
      <c r="I16" s="75"/>
      <c r="J16" s="75"/>
      <c r="K16" s="8"/>
      <c r="L16" s="8"/>
      <c r="M16" s="8"/>
      <c r="N16" s="8"/>
      <c r="O16" s="8"/>
      <c r="P16" s="75"/>
      <c r="Q16" s="75"/>
      <c r="R16" s="35"/>
      <c r="S16" s="8"/>
      <c r="T16" s="8"/>
      <c r="U16" s="8"/>
      <c r="V16" s="8"/>
      <c r="W16" s="75"/>
      <c r="X16" s="75"/>
      <c r="Y16" s="8"/>
      <c r="Z16" s="8"/>
      <c r="AA16" s="8"/>
      <c r="AB16" s="8" t="s">
        <v>82</v>
      </c>
      <c r="AC16" s="8" t="s">
        <v>82</v>
      </c>
      <c r="AD16" s="75"/>
      <c r="AE16" s="75"/>
      <c r="AF16" s="8" t="s">
        <v>82</v>
      </c>
      <c r="AG16" s="20"/>
      <c r="AH16" s="33">
        <f>COUNTIF(D16:AG16,"Leave")</f>
        <v>0</v>
      </c>
      <c r="AI16" s="34">
        <f>COUNTIF(A16:AG16,"WFH")</f>
        <v>3</v>
      </c>
    </row>
    <row r="17" spans="1:35">
      <c r="A17" s="66"/>
      <c r="B17" s="61" t="s">
        <v>62</v>
      </c>
      <c r="C17" s="1" t="s">
        <v>63</v>
      </c>
      <c r="D17" s="8"/>
      <c r="E17" s="8"/>
      <c r="F17" s="8"/>
      <c r="G17" s="8"/>
      <c r="H17" s="8"/>
      <c r="I17" s="75"/>
      <c r="J17" s="75"/>
      <c r="K17" s="8"/>
      <c r="L17" s="8"/>
      <c r="M17" s="8"/>
      <c r="N17" s="8"/>
      <c r="O17" s="8"/>
      <c r="P17" s="75"/>
      <c r="Q17" s="75"/>
      <c r="R17" s="35"/>
      <c r="S17" s="8"/>
      <c r="T17" s="8"/>
      <c r="U17" s="8"/>
      <c r="V17" s="8" t="s">
        <v>82</v>
      </c>
      <c r="W17" s="75"/>
      <c r="X17" s="75"/>
      <c r="Y17" s="8" t="s">
        <v>81</v>
      </c>
      <c r="Z17" s="8" t="s">
        <v>81</v>
      </c>
      <c r="AA17" s="8"/>
      <c r="AB17" s="8"/>
      <c r="AC17" s="8"/>
      <c r="AD17" s="75"/>
      <c r="AE17" s="75"/>
      <c r="AF17" s="8"/>
      <c r="AG17" s="20"/>
      <c r="AH17" s="33">
        <f>COUNTIF(D17:AG17,"Leave")</f>
        <v>2</v>
      </c>
      <c r="AI17" s="34">
        <f>COUNTIF(A17:AG17,"WFH")</f>
        <v>1</v>
      </c>
    </row>
    <row r="18" spans="1:35">
      <c r="A18" s="66"/>
      <c r="B18" s="61" t="s">
        <v>64</v>
      </c>
      <c r="C18" s="1" t="s">
        <v>63</v>
      </c>
      <c r="D18" s="8"/>
      <c r="E18" s="8"/>
      <c r="F18" s="8"/>
      <c r="G18" s="8" t="s">
        <v>82</v>
      </c>
      <c r="H18" s="8"/>
      <c r="I18" s="132" t="s">
        <v>115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4"/>
      <c r="AH18" s="33">
        <f>COUNTIF(D18:AG18,"Leave")</f>
        <v>0</v>
      </c>
      <c r="AI18" s="34">
        <f>COUNTIF(A18:AG18,"WFH")</f>
        <v>1</v>
      </c>
    </row>
    <row r="19" spans="1:35">
      <c r="A19" s="66"/>
      <c r="B19" s="61" t="s">
        <v>65</v>
      </c>
      <c r="C19" s="1" t="s">
        <v>63</v>
      </c>
      <c r="D19" s="8"/>
      <c r="E19" s="8" t="s">
        <v>82</v>
      </c>
      <c r="F19" s="8"/>
      <c r="G19" s="8"/>
      <c r="H19" s="8"/>
      <c r="I19" s="75"/>
      <c r="J19" s="75"/>
      <c r="K19" s="8"/>
      <c r="L19" s="8"/>
      <c r="M19" s="8"/>
      <c r="N19" s="8"/>
      <c r="O19" s="8"/>
      <c r="P19" s="75"/>
      <c r="Q19" s="75"/>
      <c r="R19" s="35"/>
      <c r="S19" s="8"/>
      <c r="T19" s="8" t="s">
        <v>82</v>
      </c>
      <c r="U19" s="8"/>
      <c r="V19" s="8"/>
      <c r="W19" s="75"/>
      <c r="X19" s="75"/>
      <c r="Y19" s="8"/>
      <c r="Z19" s="8"/>
      <c r="AA19" s="8"/>
      <c r="AB19" s="8"/>
      <c r="AC19" s="8"/>
      <c r="AD19" s="75"/>
      <c r="AE19" s="75"/>
      <c r="AF19" s="8"/>
      <c r="AG19" s="20"/>
      <c r="AH19" s="33">
        <f>COUNTIF(D19:AG19,"Leave")</f>
        <v>0</v>
      </c>
      <c r="AI19" s="34">
        <f>COUNTIF(A19:AG19,"WFH")</f>
        <v>2</v>
      </c>
    </row>
    <row r="20" spans="1:35">
      <c r="A20" s="66"/>
      <c r="B20" s="61" t="s">
        <v>66</v>
      </c>
      <c r="C20" s="1" t="s">
        <v>67</v>
      </c>
      <c r="D20" s="8"/>
      <c r="E20" s="8"/>
      <c r="F20" s="8"/>
      <c r="G20" s="8"/>
      <c r="H20" s="8"/>
      <c r="I20" s="75"/>
      <c r="J20" s="75"/>
      <c r="K20" s="8"/>
      <c r="L20" s="8"/>
      <c r="M20" s="8"/>
      <c r="N20" s="8"/>
      <c r="O20" s="8"/>
      <c r="P20" s="75"/>
      <c r="Q20" s="75"/>
      <c r="R20" s="35"/>
      <c r="S20" s="8"/>
      <c r="T20" s="8"/>
      <c r="U20" s="8"/>
      <c r="V20" s="8"/>
      <c r="W20" s="75"/>
      <c r="X20" s="75"/>
      <c r="Y20" s="28"/>
      <c r="Z20" s="8"/>
      <c r="AA20" s="8"/>
      <c r="AB20" s="8"/>
      <c r="AC20" s="8"/>
      <c r="AD20" s="75"/>
      <c r="AE20" s="75"/>
      <c r="AF20" s="8"/>
      <c r="AG20" s="20"/>
      <c r="AH20" s="33">
        <f>COUNTIF(D20:AG20,"Leave")</f>
        <v>0</v>
      </c>
      <c r="AI20" s="34">
        <f>COUNTIF(A20:AG20,"WFH")</f>
        <v>0</v>
      </c>
    </row>
    <row r="21" spans="1:35">
      <c r="A21" s="66"/>
      <c r="B21" s="61" t="s">
        <v>68</v>
      </c>
      <c r="C21" s="1" t="s">
        <v>67</v>
      </c>
      <c r="D21" s="8"/>
      <c r="E21" s="8"/>
      <c r="F21" s="8" t="s">
        <v>82</v>
      </c>
      <c r="G21" s="8"/>
      <c r="H21" s="8"/>
      <c r="I21" s="75"/>
      <c r="J21" s="75"/>
      <c r="K21" s="8"/>
      <c r="L21" s="8"/>
      <c r="M21" s="8"/>
      <c r="N21" s="8"/>
      <c r="O21" s="8"/>
      <c r="P21" s="75"/>
      <c r="Q21" s="75"/>
      <c r="R21" s="35"/>
      <c r="S21" s="8"/>
      <c r="T21" s="8"/>
      <c r="U21" s="132" t="s">
        <v>115</v>
      </c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4"/>
      <c r="AH21" s="33">
        <f>COUNTIF(D21:AG21,"Leave")</f>
        <v>0</v>
      </c>
      <c r="AI21" s="34">
        <f>COUNTIF(A21:AG21,"WFH")</f>
        <v>1</v>
      </c>
    </row>
    <row r="22" spans="1:35">
      <c r="A22" s="66"/>
      <c r="B22" s="61" t="s">
        <v>69</v>
      </c>
      <c r="C22" s="1" t="s">
        <v>67</v>
      </c>
      <c r="D22" s="28"/>
      <c r="E22" s="28"/>
      <c r="F22" s="28"/>
      <c r="G22" s="8"/>
      <c r="H22" s="8"/>
      <c r="I22" s="75"/>
      <c r="J22" s="75"/>
      <c r="K22" s="8"/>
      <c r="L22" s="8"/>
      <c r="M22" s="8"/>
      <c r="N22" s="8"/>
      <c r="O22" s="8"/>
      <c r="P22" s="75"/>
      <c r="Q22" s="75"/>
      <c r="R22" s="35"/>
      <c r="S22" s="8"/>
      <c r="T22" s="8"/>
      <c r="U22" s="8"/>
      <c r="V22" s="8" t="s">
        <v>82</v>
      </c>
      <c r="W22" s="75"/>
      <c r="X22" s="75"/>
      <c r="Y22" s="69"/>
      <c r="Z22" s="8"/>
      <c r="AA22" s="8"/>
      <c r="AB22" s="8"/>
      <c r="AC22" s="8"/>
      <c r="AD22" s="75"/>
      <c r="AE22" s="75"/>
      <c r="AF22" s="8"/>
      <c r="AG22" s="20"/>
      <c r="AH22" s="33">
        <f>COUNTIF(D22:AG22,"Leave")</f>
        <v>0</v>
      </c>
      <c r="AI22" s="34">
        <f>COUNTIF(A22:AG22,"WFH")</f>
        <v>1</v>
      </c>
    </row>
    <row r="23" spans="1:35">
      <c r="A23" s="65"/>
      <c r="B23" s="67" t="s">
        <v>70</v>
      </c>
      <c r="C23" s="27" t="s">
        <v>71</v>
      </c>
      <c r="D23" s="8"/>
      <c r="E23" s="8"/>
      <c r="F23" s="8"/>
      <c r="G23" s="54"/>
      <c r="H23" s="28"/>
      <c r="I23" s="75"/>
      <c r="J23" s="75"/>
      <c r="K23" s="28"/>
      <c r="L23" s="28"/>
      <c r="M23" s="28"/>
      <c r="N23" s="28"/>
      <c r="O23" s="28"/>
      <c r="P23" s="75"/>
      <c r="Q23" s="75"/>
      <c r="R23" s="35"/>
      <c r="S23" s="28"/>
      <c r="T23" s="28"/>
      <c r="U23" s="28"/>
      <c r="V23" s="28"/>
      <c r="W23" s="75"/>
      <c r="X23" s="75"/>
      <c r="Y23" s="28"/>
      <c r="Z23" s="28"/>
      <c r="AA23" s="28"/>
      <c r="AB23" s="28"/>
      <c r="AC23" s="28"/>
      <c r="AD23" s="75"/>
      <c r="AE23" s="75"/>
      <c r="AF23" s="28"/>
      <c r="AG23" s="29"/>
      <c r="AH23" s="42">
        <f>COUNTIF(D23:AG23,"Leave")</f>
        <v>0</v>
      </c>
      <c r="AI23" s="43">
        <f>COUNTIF(A23:AG23,"WFH")</f>
        <v>0</v>
      </c>
    </row>
    <row r="24" spans="1:35">
      <c r="A24" s="66"/>
      <c r="B24" s="65" t="s">
        <v>72</v>
      </c>
      <c r="C24" s="27" t="s">
        <v>73</v>
      </c>
      <c r="D24" s="38" t="s">
        <v>81</v>
      </c>
      <c r="E24" s="38" t="s">
        <v>81</v>
      </c>
      <c r="F24" s="38" t="s">
        <v>81</v>
      </c>
      <c r="G24" s="38" t="s">
        <v>81</v>
      </c>
      <c r="H24" s="38" t="s">
        <v>81</v>
      </c>
      <c r="I24" s="76" t="s">
        <v>126</v>
      </c>
      <c r="J24" s="76" t="s">
        <v>126</v>
      </c>
      <c r="K24" s="28" t="s">
        <v>81</v>
      </c>
      <c r="L24" s="28" t="s">
        <v>81</v>
      </c>
      <c r="M24" s="28" t="s">
        <v>81</v>
      </c>
      <c r="N24" s="28" t="s">
        <v>81</v>
      </c>
      <c r="O24" s="28" t="s">
        <v>81</v>
      </c>
      <c r="P24" s="76" t="s">
        <v>126</v>
      </c>
      <c r="Q24" s="76" t="s">
        <v>126</v>
      </c>
      <c r="R24" s="38"/>
      <c r="S24" s="28"/>
      <c r="T24" s="28" t="s">
        <v>81</v>
      </c>
      <c r="U24" s="28"/>
      <c r="V24" s="28"/>
      <c r="W24" s="77"/>
      <c r="X24" s="77"/>
      <c r="Y24" s="28" t="s">
        <v>82</v>
      </c>
      <c r="Z24" s="28"/>
      <c r="AA24" s="28"/>
      <c r="AB24" s="28"/>
      <c r="AC24" s="28"/>
      <c r="AD24" s="77"/>
      <c r="AE24" s="77"/>
      <c r="AF24" s="28" t="s">
        <v>82</v>
      </c>
      <c r="AG24" s="28"/>
      <c r="AH24" s="43">
        <f>COUNTIF(D24:AG24,"Leave")</f>
        <v>11</v>
      </c>
      <c r="AI24" s="43">
        <f>COUNTIF(A24:AG24,"WFH")</f>
        <v>2</v>
      </c>
    </row>
    <row r="25" spans="1:35">
      <c r="A25" s="20" t="s">
        <v>74</v>
      </c>
      <c r="B25" s="8" t="s">
        <v>75</v>
      </c>
      <c r="C25" s="8" t="s">
        <v>76</v>
      </c>
      <c r="D25" s="129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1"/>
      <c r="T25" s="8"/>
      <c r="U25" s="8"/>
      <c r="V25" s="20"/>
      <c r="W25" s="75"/>
      <c r="X25" s="75"/>
      <c r="Y25" s="8"/>
      <c r="Z25" s="8"/>
      <c r="AA25" s="8"/>
      <c r="AB25" s="8"/>
      <c r="AC25" s="8"/>
      <c r="AD25" s="75"/>
      <c r="AE25" s="75"/>
      <c r="AF25" s="55"/>
      <c r="AG25" s="20"/>
      <c r="AH25" s="34">
        <f>COUNTIF(D25:AG25,"Leave")</f>
        <v>0</v>
      </c>
      <c r="AI25" s="34">
        <f>COUNTIF(A25:AG25,"WFH")</f>
        <v>0</v>
      </c>
    </row>
  </sheetData>
  <mergeCells count="3">
    <mergeCell ref="I18:AG18"/>
    <mergeCell ref="U21:AG21"/>
    <mergeCell ref="D25:S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86A3-1546-486E-B1FA-871B3174CD95}">
  <dimension ref="A1:AL22"/>
  <sheetViews>
    <sheetView workbookViewId="0">
      <selection activeCell="E9" sqref="E9"/>
    </sheetView>
  </sheetViews>
  <sheetFormatPr defaultRowHeight="15"/>
  <cols>
    <col min="2" max="2" width="27.42578125" bestFit="1" customWidth="1"/>
    <col min="3" max="3" width="16.140625" customWidth="1"/>
    <col min="4" max="34" width="9.140625" customWidth="1"/>
    <col min="38" max="38" width="28.7109375" bestFit="1" customWidth="1"/>
  </cols>
  <sheetData>
    <row r="1" spans="1:38" s="70" customFormat="1">
      <c r="A1" s="70" t="s">
        <v>0</v>
      </c>
      <c r="B1" s="70" t="s">
        <v>1</v>
      </c>
      <c r="C1" s="70" t="s">
        <v>2</v>
      </c>
      <c r="D1" s="71">
        <v>45931</v>
      </c>
      <c r="E1" s="84">
        <v>45932</v>
      </c>
      <c r="F1" s="71">
        <v>45933</v>
      </c>
      <c r="G1" s="83">
        <v>45934</v>
      </c>
      <c r="H1" s="83">
        <v>45935</v>
      </c>
      <c r="I1" s="71">
        <v>45936</v>
      </c>
      <c r="J1" s="71">
        <v>45937</v>
      </c>
      <c r="K1" s="71">
        <v>45938</v>
      </c>
      <c r="L1" s="71">
        <v>45939</v>
      </c>
      <c r="M1" s="71">
        <v>45940</v>
      </c>
      <c r="N1" s="83">
        <v>45941</v>
      </c>
      <c r="O1" s="83">
        <v>45942</v>
      </c>
      <c r="P1" s="71">
        <v>45943</v>
      </c>
      <c r="Q1" s="71">
        <v>45944</v>
      </c>
      <c r="R1" s="71">
        <v>45945</v>
      </c>
      <c r="S1" s="71">
        <v>45946</v>
      </c>
      <c r="T1" s="71">
        <v>45947</v>
      </c>
      <c r="U1" s="83">
        <v>45948</v>
      </c>
      <c r="V1" s="83">
        <v>45949</v>
      </c>
      <c r="W1" s="84">
        <v>45950</v>
      </c>
      <c r="X1" s="71">
        <v>45951</v>
      </c>
      <c r="Y1" s="71">
        <v>45952</v>
      </c>
      <c r="Z1" s="71">
        <v>45953</v>
      </c>
      <c r="AA1" s="71">
        <v>45954</v>
      </c>
      <c r="AB1" s="83">
        <v>45955</v>
      </c>
      <c r="AC1" s="83">
        <v>45956</v>
      </c>
      <c r="AD1" s="71">
        <v>45957</v>
      </c>
      <c r="AE1" s="71">
        <v>45958</v>
      </c>
      <c r="AF1" s="71">
        <v>45959</v>
      </c>
      <c r="AG1" s="71">
        <v>45960</v>
      </c>
      <c r="AH1" s="81">
        <v>45961</v>
      </c>
      <c r="AI1" s="73" t="s">
        <v>81</v>
      </c>
      <c r="AJ1" s="82" t="s">
        <v>82</v>
      </c>
      <c r="AK1" s="74" t="s">
        <v>20</v>
      </c>
      <c r="AL1" s="70" t="s">
        <v>120</v>
      </c>
    </row>
    <row r="2" spans="1:38">
      <c r="A2" s="60" t="s">
        <v>21</v>
      </c>
      <c r="B2" s="61" t="s">
        <v>22</v>
      </c>
      <c r="C2" s="20" t="s">
        <v>23</v>
      </c>
      <c r="D2" s="35" t="s">
        <v>82</v>
      </c>
      <c r="E2" s="85"/>
      <c r="F2" s="35"/>
      <c r="G2" s="26"/>
      <c r="H2" s="26"/>
      <c r="I2" s="35"/>
      <c r="J2" s="35"/>
      <c r="K2" s="35" t="s">
        <v>81</v>
      </c>
      <c r="L2" s="35" t="s">
        <v>81</v>
      </c>
      <c r="M2" s="35"/>
      <c r="N2" s="26"/>
      <c r="O2" s="26"/>
      <c r="P2" s="35"/>
      <c r="Q2" s="35"/>
      <c r="R2" s="35"/>
      <c r="S2" s="35"/>
      <c r="T2" s="35"/>
      <c r="U2" s="26"/>
      <c r="V2" s="26"/>
      <c r="W2" s="85"/>
      <c r="X2" s="35" t="s">
        <v>82</v>
      </c>
      <c r="Y2" s="35" t="s">
        <v>82</v>
      </c>
      <c r="Z2" s="35"/>
      <c r="AA2" s="35"/>
      <c r="AB2" s="26"/>
      <c r="AC2" s="26"/>
      <c r="AD2" s="35" t="s">
        <v>82</v>
      </c>
      <c r="AE2" s="35" t="s">
        <v>82</v>
      </c>
      <c r="AF2" s="35"/>
      <c r="AG2" s="35"/>
      <c r="AH2" s="78" t="s">
        <v>82</v>
      </c>
      <c r="AI2" s="34">
        <f>COUNTIF(D2:AH2,"Leave")</f>
        <v>2</v>
      </c>
      <c r="AJ2" s="80">
        <f>COUNTIF(A2:AH2,"WFH")</f>
        <v>6</v>
      </c>
    </row>
    <row r="3" spans="1:38">
      <c r="A3" s="60" t="s">
        <v>24</v>
      </c>
      <c r="B3" s="61" t="s">
        <v>25</v>
      </c>
      <c r="C3" s="20" t="s">
        <v>26</v>
      </c>
      <c r="D3" s="35"/>
      <c r="E3" s="85"/>
      <c r="F3" s="35" t="s">
        <v>81</v>
      </c>
      <c r="G3" s="26"/>
      <c r="H3" s="26"/>
      <c r="I3" s="35"/>
      <c r="J3" s="35"/>
      <c r="K3" s="35"/>
      <c r="L3" s="35"/>
      <c r="M3" s="35"/>
      <c r="N3" s="26"/>
      <c r="O3" s="26"/>
      <c r="P3" s="35"/>
      <c r="Q3" s="35"/>
      <c r="R3" s="35"/>
      <c r="S3" s="35"/>
      <c r="T3" s="35"/>
      <c r="U3" s="26"/>
      <c r="V3" s="26"/>
      <c r="W3" s="85"/>
      <c r="X3" s="35"/>
      <c r="Y3" s="35"/>
      <c r="Z3" s="35"/>
      <c r="AA3" s="35"/>
      <c r="AB3" s="26"/>
      <c r="AC3" s="26"/>
      <c r="AD3" s="35" t="s">
        <v>82</v>
      </c>
      <c r="AE3" s="35" t="s">
        <v>82</v>
      </c>
      <c r="AF3" s="35"/>
      <c r="AG3" s="35" t="s">
        <v>82</v>
      </c>
      <c r="AH3" s="78" t="s">
        <v>82</v>
      </c>
      <c r="AI3" s="34">
        <f t="shared" ref="AI3:AI22" si="0">COUNTIF(D3:AH3,"Leave")</f>
        <v>1</v>
      </c>
      <c r="AJ3" s="80">
        <f t="shared" ref="AJ3:AJ22" si="1">COUNTIF(A3:AH3,"WFH")</f>
        <v>4</v>
      </c>
    </row>
    <row r="4" spans="1:38">
      <c r="A4" s="60" t="s">
        <v>27</v>
      </c>
      <c r="B4" s="61" t="s">
        <v>28</v>
      </c>
      <c r="C4" s="22" t="s">
        <v>29</v>
      </c>
      <c r="D4" s="35" t="s">
        <v>82</v>
      </c>
      <c r="E4" s="85"/>
      <c r="F4" s="35"/>
      <c r="G4" s="26"/>
      <c r="H4" s="26"/>
      <c r="I4" s="35" t="s">
        <v>82</v>
      </c>
      <c r="J4" s="35" t="s">
        <v>82</v>
      </c>
      <c r="K4" s="35" t="s">
        <v>82</v>
      </c>
      <c r="L4" s="35" t="s">
        <v>82</v>
      </c>
      <c r="M4" s="35"/>
      <c r="N4" s="26"/>
      <c r="O4" s="26"/>
      <c r="P4" s="35"/>
      <c r="Q4" s="35"/>
      <c r="R4" s="35"/>
      <c r="S4" s="35"/>
      <c r="T4" s="35" t="s">
        <v>81</v>
      </c>
      <c r="U4" s="26"/>
      <c r="V4" s="26"/>
      <c r="W4" s="85"/>
      <c r="X4" s="35"/>
      <c r="Y4" s="35"/>
      <c r="Z4" s="35" t="s">
        <v>82</v>
      </c>
      <c r="AA4" s="35" t="s">
        <v>82</v>
      </c>
      <c r="AB4" s="26"/>
      <c r="AC4" s="26"/>
      <c r="AD4" s="35" t="s">
        <v>82</v>
      </c>
      <c r="AE4" s="35"/>
      <c r="AF4" s="35"/>
      <c r="AG4" s="35" t="s">
        <v>82</v>
      </c>
      <c r="AH4" s="78"/>
      <c r="AI4" s="34">
        <f t="shared" si="0"/>
        <v>1</v>
      </c>
      <c r="AJ4" s="80">
        <f t="shared" si="1"/>
        <v>9</v>
      </c>
    </row>
    <row r="5" spans="1:38">
      <c r="A5" s="60" t="s">
        <v>30</v>
      </c>
      <c r="B5" s="61" t="s">
        <v>31</v>
      </c>
      <c r="C5" s="22" t="s">
        <v>29</v>
      </c>
      <c r="D5" s="35"/>
      <c r="E5" s="85"/>
      <c r="F5" s="35"/>
      <c r="G5" s="26"/>
      <c r="H5" s="26"/>
      <c r="I5" s="35" t="s">
        <v>82</v>
      </c>
      <c r="J5" s="35"/>
      <c r="K5" s="35" t="s">
        <v>82</v>
      </c>
      <c r="L5" s="35" t="s">
        <v>82</v>
      </c>
      <c r="M5" s="35"/>
      <c r="N5" s="26"/>
      <c r="O5" s="26"/>
      <c r="P5" s="35"/>
      <c r="Q5" s="35"/>
      <c r="R5" s="35"/>
      <c r="S5" s="35"/>
      <c r="T5" s="35"/>
      <c r="U5" s="26"/>
      <c r="V5" s="26"/>
      <c r="W5" s="85"/>
      <c r="X5" s="35"/>
      <c r="Y5" s="35"/>
      <c r="Z5" s="35" t="s">
        <v>82</v>
      </c>
      <c r="AA5" s="35" t="s">
        <v>82</v>
      </c>
      <c r="AB5" s="26"/>
      <c r="AC5" s="26"/>
      <c r="AD5" s="35" t="s">
        <v>82</v>
      </c>
      <c r="AE5" s="35"/>
      <c r="AF5" s="35"/>
      <c r="AG5" s="35"/>
      <c r="AH5" s="78"/>
      <c r="AI5" s="34">
        <f t="shared" si="0"/>
        <v>0</v>
      </c>
      <c r="AJ5" s="80">
        <f t="shared" si="1"/>
        <v>6</v>
      </c>
    </row>
    <row r="6" spans="1:38">
      <c r="A6" s="62" t="s">
        <v>32</v>
      </c>
      <c r="B6" s="61" t="s">
        <v>33</v>
      </c>
      <c r="C6" s="22" t="s">
        <v>34</v>
      </c>
      <c r="D6" s="35" t="s">
        <v>82</v>
      </c>
      <c r="E6" s="85"/>
      <c r="F6" s="35"/>
      <c r="G6" s="26"/>
      <c r="H6" s="26"/>
      <c r="I6" s="35"/>
      <c r="J6" s="35"/>
      <c r="K6" s="35"/>
      <c r="L6" s="35"/>
      <c r="M6" s="35"/>
      <c r="N6" s="26"/>
      <c r="O6" s="26"/>
      <c r="P6" s="35"/>
      <c r="Q6" s="35"/>
      <c r="R6" s="35"/>
      <c r="S6" s="35"/>
      <c r="T6" s="35"/>
      <c r="U6" s="26"/>
      <c r="V6" s="26"/>
      <c r="W6" s="85"/>
      <c r="X6" s="35"/>
      <c r="Y6" s="35"/>
      <c r="Z6" s="35"/>
      <c r="AA6" s="35"/>
      <c r="AB6" s="26"/>
      <c r="AC6" s="26"/>
      <c r="AD6" s="35"/>
      <c r="AE6" s="35"/>
      <c r="AF6" s="35"/>
      <c r="AG6" s="35" t="s">
        <v>82</v>
      </c>
      <c r="AH6" s="78"/>
      <c r="AI6" s="34">
        <f t="shared" si="0"/>
        <v>0</v>
      </c>
      <c r="AJ6" s="80">
        <f t="shared" si="1"/>
        <v>2</v>
      </c>
    </row>
    <row r="7" spans="1:38">
      <c r="A7" s="63" t="s">
        <v>35</v>
      </c>
      <c r="B7" s="61" t="s">
        <v>36</v>
      </c>
      <c r="C7" s="22" t="s">
        <v>37</v>
      </c>
      <c r="D7" s="35"/>
      <c r="E7" s="85"/>
      <c r="F7" s="35"/>
      <c r="G7" s="26"/>
      <c r="H7" s="26"/>
      <c r="I7" s="35" t="s">
        <v>81</v>
      </c>
      <c r="J7" s="35"/>
      <c r="K7" s="35"/>
      <c r="L7" s="35"/>
      <c r="M7" s="35"/>
      <c r="N7" s="26"/>
      <c r="O7" s="26"/>
      <c r="P7" s="35"/>
      <c r="Q7" s="35"/>
      <c r="R7" s="35"/>
      <c r="S7" s="35"/>
      <c r="T7" s="35" t="s">
        <v>81</v>
      </c>
      <c r="U7" s="26"/>
      <c r="V7" s="26"/>
      <c r="W7" s="85"/>
      <c r="X7" s="35"/>
      <c r="Y7" s="35"/>
      <c r="Z7" s="35" t="s">
        <v>82</v>
      </c>
      <c r="AA7" s="35" t="s">
        <v>81</v>
      </c>
      <c r="AB7" s="26"/>
      <c r="AC7" s="26"/>
      <c r="AD7" s="35"/>
      <c r="AE7" s="35"/>
      <c r="AF7" s="35"/>
      <c r="AG7" s="35" t="s">
        <v>81</v>
      </c>
      <c r="AH7" s="78" t="s">
        <v>81</v>
      </c>
      <c r="AI7" s="32">
        <f t="shared" si="0"/>
        <v>5</v>
      </c>
      <c r="AJ7" s="100">
        <f t="shared" si="1"/>
        <v>1</v>
      </c>
    </row>
    <row r="8" spans="1:38">
      <c r="A8" s="64" t="s">
        <v>38</v>
      </c>
      <c r="B8" s="61" t="s">
        <v>39</v>
      </c>
      <c r="C8" s="27" t="s">
        <v>40</v>
      </c>
      <c r="D8" s="35"/>
      <c r="E8" s="85"/>
      <c r="F8" s="35"/>
      <c r="G8" s="26"/>
      <c r="H8" s="26"/>
      <c r="I8" s="35"/>
      <c r="J8" s="35"/>
      <c r="K8" s="35"/>
      <c r="L8" s="35"/>
      <c r="M8" s="35"/>
      <c r="N8" s="26"/>
      <c r="O8" s="26"/>
      <c r="P8" s="35"/>
      <c r="Q8" s="35"/>
      <c r="R8" s="35"/>
      <c r="S8" s="35"/>
      <c r="T8" s="35"/>
      <c r="U8" s="26"/>
      <c r="V8" s="26"/>
      <c r="W8" s="85"/>
      <c r="X8" s="35" t="s">
        <v>82</v>
      </c>
      <c r="Y8" s="35" t="s">
        <v>81</v>
      </c>
      <c r="Z8" s="35" t="s">
        <v>81</v>
      </c>
      <c r="AA8" s="35"/>
      <c r="AB8" s="26"/>
      <c r="AC8" s="26"/>
      <c r="AD8" s="35"/>
      <c r="AE8" s="35"/>
      <c r="AF8" s="35"/>
      <c r="AG8" s="35" t="s">
        <v>82</v>
      </c>
      <c r="AH8" s="78"/>
      <c r="AI8" s="32">
        <f t="shared" si="0"/>
        <v>2</v>
      </c>
      <c r="AJ8" s="100">
        <f t="shared" si="1"/>
        <v>2</v>
      </c>
    </row>
    <row r="9" spans="1:38">
      <c r="A9" s="64" t="s">
        <v>41</v>
      </c>
      <c r="B9" s="61" t="s">
        <v>42</v>
      </c>
      <c r="C9" s="22" t="s">
        <v>43</v>
      </c>
      <c r="D9" s="35"/>
      <c r="E9" s="85"/>
      <c r="F9" s="35"/>
      <c r="G9" s="26"/>
      <c r="H9" s="26"/>
      <c r="I9" s="35"/>
      <c r="J9" s="35"/>
      <c r="K9" s="35"/>
      <c r="L9" s="35"/>
      <c r="M9" s="35"/>
      <c r="N9" s="26"/>
      <c r="O9" s="26"/>
      <c r="P9" s="35"/>
      <c r="Q9" s="35"/>
      <c r="R9" s="35" t="s">
        <v>81</v>
      </c>
      <c r="S9" s="35"/>
      <c r="T9" s="35"/>
      <c r="U9" s="26"/>
      <c r="V9" s="26"/>
      <c r="W9" s="85"/>
      <c r="X9" s="35" t="s">
        <v>82</v>
      </c>
      <c r="Y9" s="35"/>
      <c r="Z9" s="35"/>
      <c r="AA9" s="35"/>
      <c r="AB9" s="26"/>
      <c r="AC9" s="26"/>
      <c r="AD9" s="35"/>
      <c r="AE9" s="35"/>
      <c r="AF9" s="35" t="s">
        <v>82</v>
      </c>
      <c r="AG9" s="35"/>
      <c r="AH9" s="78"/>
      <c r="AI9" s="34">
        <f t="shared" si="0"/>
        <v>1</v>
      </c>
      <c r="AJ9" s="80">
        <f t="shared" si="1"/>
        <v>2</v>
      </c>
    </row>
    <row r="10" spans="1:38">
      <c r="A10" s="64" t="s">
        <v>44</v>
      </c>
      <c r="B10" s="61" t="s">
        <v>45</v>
      </c>
      <c r="C10" s="22" t="s">
        <v>46</v>
      </c>
      <c r="D10" s="35"/>
      <c r="E10" s="85"/>
      <c r="F10" s="35"/>
      <c r="G10" s="26"/>
      <c r="H10" s="26"/>
      <c r="I10" s="35"/>
      <c r="J10" s="35"/>
      <c r="K10" s="35"/>
      <c r="L10" s="35"/>
      <c r="M10" s="35"/>
      <c r="N10" s="26"/>
      <c r="O10" s="26"/>
      <c r="P10" s="35"/>
      <c r="Q10" s="35"/>
      <c r="R10" s="35"/>
      <c r="S10" s="35"/>
      <c r="T10" s="35"/>
      <c r="U10" s="26"/>
      <c r="V10" s="26"/>
      <c r="W10" s="85"/>
      <c r="X10" s="35" t="s">
        <v>82</v>
      </c>
      <c r="Y10" s="35" t="s">
        <v>81</v>
      </c>
      <c r="Z10" s="35"/>
      <c r="AA10" s="35"/>
      <c r="AB10" s="26"/>
      <c r="AC10" s="26"/>
      <c r="AD10" s="35"/>
      <c r="AE10" s="35"/>
      <c r="AF10" s="35"/>
      <c r="AG10" s="35"/>
      <c r="AH10" s="78"/>
      <c r="AI10" s="34">
        <f t="shared" si="0"/>
        <v>1</v>
      </c>
      <c r="AJ10" s="80">
        <f t="shared" si="1"/>
        <v>1</v>
      </c>
    </row>
    <row r="11" spans="1:38">
      <c r="A11" s="62" t="s">
        <v>47</v>
      </c>
      <c r="B11" s="61" t="s">
        <v>48</v>
      </c>
      <c r="C11" s="22" t="s">
        <v>49</v>
      </c>
      <c r="D11" s="35"/>
      <c r="E11" s="85"/>
      <c r="F11" s="35" t="s">
        <v>81</v>
      </c>
      <c r="G11" s="26"/>
      <c r="H11" s="26"/>
      <c r="I11" s="35" t="s">
        <v>82</v>
      </c>
      <c r="J11" s="35"/>
      <c r="K11" s="35"/>
      <c r="L11" s="35"/>
      <c r="M11" s="35"/>
      <c r="N11" s="26"/>
      <c r="O11" s="26"/>
      <c r="P11" s="35"/>
      <c r="Q11" s="35"/>
      <c r="R11" s="35"/>
      <c r="S11" s="35"/>
      <c r="T11" s="35"/>
      <c r="U11" s="26"/>
      <c r="V11" s="26"/>
      <c r="W11" s="85"/>
      <c r="X11" s="35" t="s">
        <v>82</v>
      </c>
      <c r="Y11" s="35" t="s">
        <v>81</v>
      </c>
      <c r="Z11" s="35" t="s">
        <v>82</v>
      </c>
      <c r="AA11" s="35" t="s">
        <v>81</v>
      </c>
      <c r="AB11" s="26"/>
      <c r="AC11" s="26"/>
      <c r="AD11" s="35"/>
      <c r="AE11" s="35"/>
      <c r="AF11" s="35" t="s">
        <v>82</v>
      </c>
      <c r="AG11" s="35"/>
      <c r="AH11" s="78"/>
      <c r="AI11" s="32">
        <f t="shared" si="0"/>
        <v>3</v>
      </c>
      <c r="AJ11" s="100">
        <f t="shared" si="1"/>
        <v>4</v>
      </c>
      <c r="AK11">
        <v>1.5</v>
      </c>
    </row>
    <row r="12" spans="1:38">
      <c r="A12" s="61" t="s">
        <v>50</v>
      </c>
      <c r="B12" s="61" t="s">
        <v>51</v>
      </c>
      <c r="C12" s="22" t="s">
        <v>52</v>
      </c>
      <c r="D12" s="35" t="s">
        <v>82</v>
      </c>
      <c r="E12" s="85"/>
      <c r="F12" s="35" t="s">
        <v>81</v>
      </c>
      <c r="G12" s="26"/>
      <c r="H12" s="26"/>
      <c r="I12" s="35" t="s">
        <v>81</v>
      </c>
      <c r="J12" s="35"/>
      <c r="K12" s="35"/>
      <c r="L12" s="35"/>
      <c r="M12" s="35"/>
      <c r="N12" s="26"/>
      <c r="O12" s="26"/>
      <c r="P12" s="35"/>
      <c r="Q12" s="35"/>
      <c r="R12" s="35"/>
      <c r="S12" s="35"/>
      <c r="T12" s="35"/>
      <c r="U12" s="26"/>
      <c r="V12" s="26"/>
      <c r="W12" s="85"/>
      <c r="X12" s="35" t="s">
        <v>82</v>
      </c>
      <c r="Y12" s="35"/>
      <c r="Z12" s="35"/>
      <c r="AA12" s="35"/>
      <c r="AB12" s="26"/>
      <c r="AC12" s="26"/>
      <c r="AD12" s="35"/>
      <c r="AE12" s="35"/>
      <c r="AF12" s="35"/>
      <c r="AG12" s="35"/>
      <c r="AH12" s="78"/>
      <c r="AI12" s="34">
        <f t="shared" si="0"/>
        <v>2</v>
      </c>
      <c r="AJ12" s="80">
        <f t="shared" si="1"/>
        <v>2</v>
      </c>
    </row>
    <row r="13" spans="1:38">
      <c r="A13" s="66"/>
      <c r="B13" s="66" t="s">
        <v>55</v>
      </c>
      <c r="C13" s="20"/>
      <c r="D13" s="35"/>
      <c r="E13" s="85"/>
      <c r="F13" s="35"/>
      <c r="G13" s="26"/>
      <c r="H13" s="26"/>
      <c r="I13" s="35"/>
      <c r="J13" s="35"/>
      <c r="K13" s="35" t="s">
        <v>82</v>
      </c>
      <c r="L13" s="35"/>
      <c r="M13" s="35"/>
      <c r="N13" s="26"/>
      <c r="O13" s="26"/>
      <c r="P13" s="35"/>
      <c r="Q13" s="35"/>
      <c r="R13" s="35"/>
      <c r="S13" s="35"/>
      <c r="T13" s="35"/>
      <c r="U13" s="26"/>
      <c r="V13" s="26"/>
      <c r="W13" s="85"/>
      <c r="X13" s="35"/>
      <c r="Y13" s="35"/>
      <c r="Z13" s="35"/>
      <c r="AA13" s="35" t="s">
        <v>82</v>
      </c>
      <c r="AB13" s="26"/>
      <c r="AC13" s="26"/>
      <c r="AD13" s="35"/>
      <c r="AE13" s="35"/>
      <c r="AF13" s="35"/>
      <c r="AG13" s="35"/>
      <c r="AH13" s="78"/>
      <c r="AI13" s="34">
        <f t="shared" si="0"/>
        <v>0</v>
      </c>
      <c r="AJ13" s="80">
        <f t="shared" si="1"/>
        <v>2</v>
      </c>
    </row>
    <row r="14" spans="1:38">
      <c r="A14" s="66"/>
      <c r="B14" s="66" t="s">
        <v>53</v>
      </c>
      <c r="C14" s="22" t="s">
        <v>59</v>
      </c>
      <c r="D14" s="35" t="s">
        <v>82</v>
      </c>
      <c r="E14" s="85"/>
      <c r="F14" s="35"/>
      <c r="G14" s="26"/>
      <c r="H14" s="26"/>
      <c r="I14" s="35"/>
      <c r="J14" s="35"/>
      <c r="K14" s="35"/>
      <c r="L14" s="35"/>
      <c r="M14" s="35"/>
      <c r="N14" s="26"/>
      <c r="O14" s="26"/>
      <c r="P14" s="35"/>
      <c r="Q14" s="35"/>
      <c r="R14" s="35"/>
      <c r="S14" s="35"/>
      <c r="T14" s="35"/>
      <c r="U14" s="26"/>
      <c r="V14" s="26"/>
      <c r="W14" s="85"/>
      <c r="X14" s="35"/>
      <c r="Y14" s="35"/>
      <c r="Z14" s="35"/>
      <c r="AA14" s="35"/>
      <c r="AB14" s="26"/>
      <c r="AC14" s="26"/>
      <c r="AD14" s="35"/>
      <c r="AE14" s="35"/>
      <c r="AF14" s="35"/>
      <c r="AG14" s="35"/>
      <c r="AH14" s="78"/>
      <c r="AI14" s="34">
        <f t="shared" si="0"/>
        <v>0</v>
      </c>
      <c r="AJ14" s="80">
        <f t="shared" si="1"/>
        <v>1</v>
      </c>
    </row>
    <row r="15" spans="1:38">
      <c r="A15" s="66"/>
      <c r="B15" s="61" t="s">
        <v>60</v>
      </c>
      <c r="C15" s="22" t="s">
        <v>61</v>
      </c>
      <c r="D15" s="35" t="s">
        <v>82</v>
      </c>
      <c r="E15" s="85"/>
      <c r="F15" s="35" t="s">
        <v>81</v>
      </c>
      <c r="G15" s="26"/>
      <c r="H15" s="26"/>
      <c r="I15" s="35"/>
      <c r="J15" s="35"/>
      <c r="K15" s="35"/>
      <c r="L15" s="35"/>
      <c r="M15" s="35"/>
      <c r="N15" s="26"/>
      <c r="O15" s="26"/>
      <c r="P15" s="35"/>
      <c r="Q15" s="35"/>
      <c r="R15" s="35"/>
      <c r="S15" s="35"/>
      <c r="T15" s="35"/>
      <c r="U15" s="26"/>
      <c r="V15" s="26"/>
      <c r="W15" s="85"/>
      <c r="X15" s="35" t="s">
        <v>82</v>
      </c>
      <c r="Y15" s="35"/>
      <c r="Z15" s="35"/>
      <c r="AA15" s="35"/>
      <c r="AB15" s="26"/>
      <c r="AC15" s="26"/>
      <c r="AD15" s="35"/>
      <c r="AE15" s="35"/>
      <c r="AF15" s="35"/>
      <c r="AG15" s="35"/>
      <c r="AH15" s="78"/>
      <c r="AI15" s="34">
        <f t="shared" si="0"/>
        <v>1</v>
      </c>
      <c r="AJ15" s="80">
        <f t="shared" si="1"/>
        <v>2</v>
      </c>
    </row>
    <row r="16" spans="1:38">
      <c r="A16" s="66"/>
      <c r="B16" s="61" t="s">
        <v>62</v>
      </c>
      <c r="C16" s="22" t="s">
        <v>63</v>
      </c>
      <c r="D16" s="35"/>
      <c r="E16" s="85"/>
      <c r="F16" s="35"/>
      <c r="G16" s="26"/>
      <c r="H16" s="26"/>
      <c r="I16" s="35"/>
      <c r="J16" s="35"/>
      <c r="K16" s="35"/>
      <c r="L16" s="35"/>
      <c r="M16" s="35"/>
      <c r="N16" s="26"/>
      <c r="O16" s="26"/>
      <c r="P16" s="35"/>
      <c r="Q16" s="35"/>
      <c r="R16" s="35"/>
      <c r="S16" s="35"/>
      <c r="T16" s="35"/>
      <c r="U16" s="26"/>
      <c r="V16" s="26"/>
      <c r="W16" s="85"/>
      <c r="X16" s="35"/>
      <c r="Y16" s="35"/>
      <c r="Z16" s="35"/>
      <c r="AA16" s="35"/>
      <c r="AB16" s="26"/>
      <c r="AC16" s="26"/>
      <c r="AD16" s="35"/>
      <c r="AE16" s="35"/>
      <c r="AF16" s="35" t="s">
        <v>82</v>
      </c>
      <c r="AG16" s="35"/>
      <c r="AH16" s="78"/>
      <c r="AI16" s="34">
        <f t="shared" si="0"/>
        <v>0</v>
      </c>
      <c r="AJ16" s="80">
        <f t="shared" si="1"/>
        <v>1</v>
      </c>
    </row>
    <row r="17" spans="1:37">
      <c r="A17" s="66"/>
      <c r="B17" s="61" t="s">
        <v>65</v>
      </c>
      <c r="C17" s="22" t="s">
        <v>63</v>
      </c>
      <c r="D17" s="35"/>
      <c r="E17" s="85"/>
      <c r="F17" s="35"/>
      <c r="G17" s="26"/>
      <c r="H17" s="26"/>
      <c r="I17" s="35"/>
      <c r="J17" s="35"/>
      <c r="K17" s="35"/>
      <c r="L17" s="35"/>
      <c r="M17" s="35"/>
      <c r="N17" s="26"/>
      <c r="O17" s="26"/>
      <c r="P17" s="35"/>
      <c r="Q17" s="35"/>
      <c r="R17" s="35"/>
      <c r="S17" s="35"/>
      <c r="T17" s="35" t="s">
        <v>81</v>
      </c>
      <c r="U17" s="26"/>
      <c r="V17" s="26"/>
      <c r="W17" s="85"/>
      <c r="X17" s="35" t="s">
        <v>82</v>
      </c>
      <c r="Y17" s="35" t="s">
        <v>81</v>
      </c>
      <c r="Z17" s="35" t="s">
        <v>81</v>
      </c>
      <c r="AA17" s="35" t="s">
        <v>81</v>
      </c>
      <c r="AB17" s="26"/>
      <c r="AC17" s="26"/>
      <c r="AD17" s="35" t="s">
        <v>81</v>
      </c>
      <c r="AE17" s="35" t="s">
        <v>81</v>
      </c>
      <c r="AF17" s="35" t="s">
        <v>81</v>
      </c>
      <c r="AG17" s="35" t="s">
        <v>81</v>
      </c>
      <c r="AH17" s="78" t="s">
        <v>81</v>
      </c>
      <c r="AI17" s="32">
        <f t="shared" si="0"/>
        <v>9</v>
      </c>
      <c r="AJ17" s="100">
        <f t="shared" si="1"/>
        <v>1</v>
      </c>
      <c r="AK17">
        <v>4.5</v>
      </c>
    </row>
    <row r="18" spans="1:37">
      <c r="A18" s="66"/>
      <c r="B18" s="61" t="s">
        <v>66</v>
      </c>
      <c r="C18" s="22" t="s">
        <v>67</v>
      </c>
      <c r="D18" s="35"/>
      <c r="E18" s="85"/>
      <c r="F18" s="35"/>
      <c r="G18" s="26"/>
      <c r="H18" s="26"/>
      <c r="I18" s="35"/>
      <c r="J18" s="35"/>
      <c r="K18" s="35"/>
      <c r="L18" s="35"/>
      <c r="M18" s="35"/>
      <c r="N18" s="26"/>
      <c r="O18" s="26"/>
      <c r="P18" s="35"/>
      <c r="Q18" s="35"/>
      <c r="R18" s="35"/>
      <c r="S18" s="35"/>
      <c r="T18" s="35"/>
      <c r="U18" s="26"/>
      <c r="V18" s="26"/>
      <c r="W18" s="85"/>
      <c r="X18" s="35"/>
      <c r="Y18" s="35"/>
      <c r="Z18" s="35"/>
      <c r="AA18" s="35"/>
      <c r="AB18" s="26"/>
      <c r="AC18" s="26"/>
      <c r="AD18" s="35" t="s">
        <v>82</v>
      </c>
      <c r="AE18" s="35" t="s">
        <v>81</v>
      </c>
      <c r="AF18" s="35" t="s">
        <v>81</v>
      </c>
      <c r="AG18" s="35" t="s">
        <v>82</v>
      </c>
      <c r="AH18" s="78" t="s">
        <v>81</v>
      </c>
      <c r="AI18" s="34">
        <f t="shared" si="0"/>
        <v>3</v>
      </c>
      <c r="AJ18" s="80">
        <f t="shared" si="1"/>
        <v>2</v>
      </c>
    </row>
    <row r="19" spans="1:37">
      <c r="A19" s="66"/>
      <c r="B19" s="61" t="s">
        <v>69</v>
      </c>
      <c r="C19" s="22" t="s">
        <v>67</v>
      </c>
      <c r="D19" s="35"/>
      <c r="E19" s="85"/>
      <c r="F19" s="35"/>
      <c r="G19" s="26"/>
      <c r="H19" s="26"/>
      <c r="I19" s="35"/>
      <c r="J19" s="35"/>
      <c r="K19" s="35"/>
      <c r="L19" s="35"/>
      <c r="M19" s="35"/>
      <c r="N19" s="26"/>
      <c r="O19" s="26"/>
      <c r="P19" s="35"/>
      <c r="Q19" s="35"/>
      <c r="R19" s="35"/>
      <c r="S19" s="35"/>
      <c r="T19" s="35"/>
      <c r="U19" s="26"/>
      <c r="V19" s="26"/>
      <c r="W19" s="85"/>
      <c r="X19" s="35" t="s">
        <v>82</v>
      </c>
      <c r="Y19" s="35"/>
      <c r="Z19" s="35"/>
      <c r="AA19" s="35"/>
      <c r="AB19" s="26"/>
      <c r="AC19" s="26"/>
      <c r="AD19" s="35"/>
      <c r="AE19" s="35" t="s">
        <v>82</v>
      </c>
      <c r="AF19" s="35"/>
      <c r="AG19" s="35"/>
      <c r="AH19" s="78"/>
      <c r="AI19" s="34">
        <f t="shared" si="0"/>
        <v>0</v>
      </c>
      <c r="AJ19" s="80">
        <f t="shared" si="1"/>
        <v>2</v>
      </c>
    </row>
    <row r="20" spans="1:37">
      <c r="A20" s="65"/>
      <c r="B20" s="67" t="s">
        <v>70</v>
      </c>
      <c r="C20" s="27" t="s">
        <v>71</v>
      </c>
      <c r="D20" s="35"/>
      <c r="E20" s="85"/>
      <c r="F20" s="35"/>
      <c r="G20" s="26"/>
      <c r="H20" s="26"/>
      <c r="I20" s="35"/>
      <c r="J20" s="35"/>
      <c r="K20" s="35"/>
      <c r="L20" s="35"/>
      <c r="M20" s="35"/>
      <c r="N20" s="26"/>
      <c r="O20" s="26"/>
      <c r="P20" s="35"/>
      <c r="Q20" s="35"/>
      <c r="R20" s="35"/>
      <c r="S20" s="35"/>
      <c r="T20" s="35"/>
      <c r="U20" s="26"/>
      <c r="V20" s="26"/>
      <c r="W20" s="85"/>
      <c r="X20" s="35" t="s">
        <v>81</v>
      </c>
      <c r="Y20" s="35"/>
      <c r="Z20" s="35" t="s">
        <v>82</v>
      </c>
      <c r="AA20" s="35"/>
      <c r="AB20" s="26"/>
      <c r="AC20" s="26"/>
      <c r="AD20" s="35"/>
      <c r="AE20" s="35"/>
      <c r="AF20" s="35" t="s">
        <v>82</v>
      </c>
      <c r="AG20" s="35"/>
      <c r="AH20" s="79"/>
      <c r="AI20" s="34">
        <f t="shared" si="0"/>
        <v>1</v>
      </c>
      <c r="AJ20" s="80">
        <f t="shared" si="1"/>
        <v>2</v>
      </c>
    </row>
    <row r="21" spans="1:37">
      <c r="A21" s="66"/>
      <c r="B21" s="65" t="s">
        <v>72</v>
      </c>
      <c r="C21" s="27" t="s">
        <v>73</v>
      </c>
      <c r="D21" s="35" t="s">
        <v>81</v>
      </c>
      <c r="E21" s="85"/>
      <c r="F21" s="35"/>
      <c r="G21" s="26"/>
      <c r="H21" s="26"/>
      <c r="I21" s="35"/>
      <c r="J21" s="35"/>
      <c r="K21" s="35"/>
      <c r="L21" s="35" t="s">
        <v>82</v>
      </c>
      <c r="M21" s="35"/>
      <c r="N21" s="26"/>
      <c r="O21" s="26"/>
      <c r="P21" s="35"/>
      <c r="Q21" s="35"/>
      <c r="R21" s="35"/>
      <c r="S21" s="35"/>
      <c r="T21" s="35" t="s">
        <v>81</v>
      </c>
      <c r="U21" s="26"/>
      <c r="V21" s="26"/>
      <c r="W21" s="85"/>
      <c r="X21" s="35"/>
      <c r="Y21" s="35"/>
      <c r="Z21" s="35"/>
      <c r="AA21" s="35"/>
      <c r="AB21" s="26"/>
      <c r="AC21" s="26"/>
      <c r="AD21" s="35" t="s">
        <v>81</v>
      </c>
      <c r="AE21" s="35" t="s">
        <v>81</v>
      </c>
      <c r="AF21" s="35"/>
      <c r="AG21" s="35" t="s">
        <v>82</v>
      </c>
      <c r="AH21" s="79"/>
      <c r="AI21" s="32">
        <f t="shared" si="0"/>
        <v>4</v>
      </c>
      <c r="AJ21" s="100">
        <f t="shared" si="1"/>
        <v>2</v>
      </c>
      <c r="AK21">
        <v>2.5</v>
      </c>
    </row>
    <row r="22" spans="1:37">
      <c r="A22" s="20" t="s">
        <v>74</v>
      </c>
      <c r="B22" s="8" t="s">
        <v>75</v>
      </c>
      <c r="C22" s="20" t="s">
        <v>76</v>
      </c>
      <c r="D22" s="35"/>
      <c r="E22" s="85"/>
      <c r="F22" s="35"/>
      <c r="G22" s="26"/>
      <c r="H22" s="26"/>
      <c r="I22" s="35"/>
      <c r="J22" s="35"/>
      <c r="K22" s="35"/>
      <c r="L22" s="35"/>
      <c r="M22" s="35"/>
      <c r="N22" s="26"/>
      <c r="O22" s="26"/>
      <c r="P22" s="35"/>
      <c r="Q22" s="35"/>
      <c r="R22" s="35"/>
      <c r="S22" s="35"/>
      <c r="T22" s="35"/>
      <c r="U22" s="26"/>
      <c r="V22" s="26"/>
      <c r="W22" s="85"/>
      <c r="X22" s="35" t="s">
        <v>82</v>
      </c>
      <c r="Y22" s="35" t="s">
        <v>82</v>
      </c>
      <c r="Z22" s="35" t="s">
        <v>82</v>
      </c>
      <c r="AA22" s="35" t="s">
        <v>81</v>
      </c>
      <c r="AB22" s="26"/>
      <c r="AC22" s="26"/>
      <c r="AD22" s="35"/>
      <c r="AE22" s="35"/>
      <c r="AF22" s="35"/>
      <c r="AG22" s="35"/>
      <c r="AH22" s="78"/>
      <c r="AI22" s="34">
        <f t="shared" si="0"/>
        <v>1</v>
      </c>
      <c r="AJ22" s="80">
        <f t="shared" si="1"/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C458-6B58-40CD-B0DF-8A4C2ACEF9E9}">
  <dimension ref="A1:AL24"/>
  <sheetViews>
    <sheetView workbookViewId="0">
      <selection activeCell="M15" sqref="M15"/>
    </sheetView>
  </sheetViews>
  <sheetFormatPr defaultRowHeight="15"/>
  <cols>
    <col min="2" max="2" width="27.42578125" bestFit="1" customWidth="1"/>
    <col min="3" max="3" width="16.140625" customWidth="1"/>
    <col min="38" max="38" width="28.7109375" bestFit="1" customWidth="1"/>
  </cols>
  <sheetData>
    <row r="1" spans="1:38" s="70" customFormat="1">
      <c r="A1" s="70" t="s">
        <v>0</v>
      </c>
      <c r="B1" s="70" t="s">
        <v>1</v>
      </c>
      <c r="C1" s="70" t="s">
        <v>2</v>
      </c>
      <c r="D1" s="95">
        <v>45962</v>
      </c>
      <c r="E1" s="95">
        <v>45963</v>
      </c>
      <c r="F1" s="94">
        <v>45964</v>
      </c>
      <c r="G1" s="94">
        <v>45965</v>
      </c>
      <c r="H1" s="94">
        <v>45966</v>
      </c>
      <c r="I1" s="94">
        <v>45967</v>
      </c>
      <c r="J1" s="94">
        <v>45968</v>
      </c>
      <c r="K1" s="95">
        <v>45969</v>
      </c>
      <c r="L1" s="95">
        <v>45970</v>
      </c>
      <c r="M1" s="94">
        <v>45971</v>
      </c>
      <c r="N1" s="94">
        <v>45972</v>
      </c>
      <c r="O1" s="94">
        <v>45973</v>
      </c>
      <c r="P1" s="94">
        <v>45974</v>
      </c>
      <c r="Q1" s="94">
        <v>45975</v>
      </c>
      <c r="R1" s="95">
        <v>45976</v>
      </c>
      <c r="S1" s="95">
        <v>45977</v>
      </c>
      <c r="T1" s="94">
        <v>45978</v>
      </c>
      <c r="U1" s="94">
        <v>45979</v>
      </c>
      <c r="V1" s="94">
        <v>45980</v>
      </c>
      <c r="W1" s="94">
        <v>45981</v>
      </c>
      <c r="X1" s="94">
        <v>45982</v>
      </c>
      <c r="Y1" s="95">
        <v>45983</v>
      </c>
      <c r="Z1" s="95">
        <v>45984</v>
      </c>
      <c r="AA1" s="94">
        <v>45985</v>
      </c>
      <c r="AB1" s="94">
        <v>45986</v>
      </c>
      <c r="AC1" s="94">
        <v>45987</v>
      </c>
      <c r="AD1" s="94">
        <v>45988</v>
      </c>
      <c r="AE1" s="94">
        <v>45989</v>
      </c>
      <c r="AF1" s="95">
        <v>45990</v>
      </c>
      <c r="AG1" s="95">
        <v>45991</v>
      </c>
      <c r="AH1" s="101" t="s">
        <v>81</v>
      </c>
      <c r="AI1" s="73" t="s">
        <v>82</v>
      </c>
      <c r="AJ1" s="73" t="s">
        <v>124</v>
      </c>
      <c r="AK1" s="74" t="s">
        <v>20</v>
      </c>
      <c r="AL1" s="70" t="s">
        <v>120</v>
      </c>
    </row>
    <row r="2" spans="1:38">
      <c r="A2" s="60" t="s">
        <v>21</v>
      </c>
      <c r="B2" s="61" t="s">
        <v>22</v>
      </c>
      <c r="C2" s="20" t="s">
        <v>23</v>
      </c>
      <c r="D2" s="96"/>
      <c r="E2" s="96"/>
      <c r="F2" s="35"/>
      <c r="G2" s="35"/>
      <c r="H2" s="35"/>
      <c r="I2" s="35" t="s">
        <v>82</v>
      </c>
      <c r="J2" s="35" t="s">
        <v>81</v>
      </c>
      <c r="K2" s="96"/>
      <c r="L2" s="96"/>
      <c r="M2" s="35" t="s">
        <v>81</v>
      </c>
      <c r="N2" s="35"/>
      <c r="O2" s="35"/>
      <c r="P2" s="35"/>
      <c r="Q2" s="35"/>
      <c r="R2" s="96"/>
      <c r="S2" s="96"/>
      <c r="T2" s="35"/>
      <c r="U2" s="35"/>
      <c r="V2" s="35"/>
      <c r="W2" s="35" t="s">
        <v>82</v>
      </c>
      <c r="X2" s="35" t="s">
        <v>82</v>
      </c>
      <c r="Y2" s="96"/>
      <c r="Z2" s="96"/>
      <c r="AA2" s="35"/>
      <c r="AB2" s="35"/>
      <c r="AC2" s="35"/>
      <c r="AD2" s="35"/>
      <c r="AE2" s="35"/>
      <c r="AF2" s="96"/>
      <c r="AG2" s="96"/>
      <c r="AH2" s="33">
        <f>COUNTIF(D2:AG2,"Leave")</f>
        <v>2</v>
      </c>
      <c r="AI2" s="34">
        <f>COUNTIF(A2:AG2,"WFH")</f>
        <v>3</v>
      </c>
      <c r="AJ2" s="34">
        <f>COUNTIF(B2:AG2,"NA")</f>
        <v>0</v>
      </c>
    </row>
    <row r="3" spans="1:38">
      <c r="A3" s="60" t="s">
        <v>24</v>
      </c>
      <c r="B3" s="61" t="s">
        <v>25</v>
      </c>
      <c r="C3" s="20" t="s">
        <v>26</v>
      </c>
      <c r="D3" s="96"/>
      <c r="E3" s="96"/>
      <c r="F3" s="35"/>
      <c r="G3" s="35"/>
      <c r="H3" s="35"/>
      <c r="I3" s="35"/>
      <c r="J3" s="35"/>
      <c r="K3" s="96"/>
      <c r="L3" s="96"/>
      <c r="M3" s="35"/>
      <c r="N3" s="35"/>
      <c r="O3" s="35"/>
      <c r="P3" s="35"/>
      <c r="Q3" s="35"/>
      <c r="R3" s="96"/>
      <c r="S3" s="96"/>
      <c r="T3" s="35"/>
      <c r="U3" s="35"/>
      <c r="V3" s="35"/>
      <c r="W3" s="35"/>
      <c r="X3" s="35" t="s">
        <v>81</v>
      </c>
      <c r="Y3" s="96"/>
      <c r="Z3" s="96"/>
      <c r="AA3" s="35"/>
      <c r="AB3" s="35"/>
      <c r="AC3" s="35"/>
      <c r="AD3" s="35"/>
      <c r="AE3" s="35"/>
      <c r="AF3" s="96"/>
      <c r="AG3" s="96"/>
      <c r="AH3" s="33">
        <f>COUNTIF(D3:AG3,"Leave")</f>
        <v>1</v>
      </c>
      <c r="AI3" s="34">
        <f>COUNTIF(A3:AG3,"WFH")</f>
        <v>0</v>
      </c>
      <c r="AJ3" s="34">
        <f t="shared" ref="AJ3:AJ23" si="0">COUNTIF(B3:AG3,"NA")</f>
        <v>0</v>
      </c>
    </row>
    <row r="4" spans="1:38">
      <c r="A4" s="60" t="s">
        <v>27</v>
      </c>
      <c r="B4" s="61" t="s">
        <v>28</v>
      </c>
      <c r="C4" s="22" t="s">
        <v>29</v>
      </c>
      <c r="D4" s="96"/>
      <c r="E4" s="96"/>
      <c r="F4" s="35" t="s">
        <v>82</v>
      </c>
      <c r="G4" s="35" t="s">
        <v>82</v>
      </c>
      <c r="H4" s="35" t="s">
        <v>82</v>
      </c>
      <c r="I4" s="35" t="s">
        <v>82</v>
      </c>
      <c r="J4" s="35" t="s">
        <v>82</v>
      </c>
      <c r="K4" s="96"/>
      <c r="L4" s="96"/>
      <c r="M4" s="35" t="s">
        <v>82</v>
      </c>
      <c r="N4" s="35" t="s">
        <v>82</v>
      </c>
      <c r="O4" s="35" t="s">
        <v>82</v>
      </c>
      <c r="P4" s="35" t="s">
        <v>82</v>
      </c>
      <c r="Q4" s="35" t="s">
        <v>82</v>
      </c>
      <c r="R4" s="96"/>
      <c r="S4" s="96"/>
      <c r="T4" s="35" t="s">
        <v>82</v>
      </c>
      <c r="U4" s="35" t="s">
        <v>82</v>
      </c>
      <c r="V4" s="35" t="s">
        <v>82</v>
      </c>
      <c r="W4" s="35" t="s">
        <v>82</v>
      </c>
      <c r="X4" s="35" t="s">
        <v>82</v>
      </c>
      <c r="Y4" s="96"/>
      <c r="Z4" s="96"/>
      <c r="AA4" s="35"/>
      <c r="AB4" s="35"/>
      <c r="AC4" s="35"/>
      <c r="AD4" s="35"/>
      <c r="AE4" s="35"/>
      <c r="AF4" s="96"/>
      <c r="AG4" s="96"/>
      <c r="AH4" s="33">
        <f>COUNTIF(D4:AG4,"Leave")</f>
        <v>0</v>
      </c>
      <c r="AI4" s="34">
        <f>COUNTIF(A4:AG4,"WFH")</f>
        <v>15</v>
      </c>
      <c r="AJ4" s="34">
        <f t="shared" si="0"/>
        <v>0</v>
      </c>
    </row>
    <row r="5" spans="1:38">
      <c r="A5" s="60" t="s">
        <v>30</v>
      </c>
      <c r="B5" s="61" t="s">
        <v>31</v>
      </c>
      <c r="C5" s="22" t="s">
        <v>29</v>
      </c>
      <c r="D5" s="96"/>
      <c r="E5" s="96"/>
      <c r="F5" s="35" t="s">
        <v>82</v>
      </c>
      <c r="G5" s="35" t="s">
        <v>82</v>
      </c>
      <c r="H5" s="35"/>
      <c r="I5" s="35" t="s">
        <v>82</v>
      </c>
      <c r="J5" s="35"/>
      <c r="K5" s="96"/>
      <c r="L5" s="96"/>
      <c r="M5" s="35"/>
      <c r="N5" s="35"/>
      <c r="O5" s="35"/>
      <c r="P5" s="35"/>
      <c r="Q5" s="35"/>
      <c r="R5" s="96"/>
      <c r="S5" s="96"/>
      <c r="T5" s="35"/>
      <c r="U5" s="35"/>
      <c r="V5" s="35" t="s">
        <v>82</v>
      </c>
      <c r="W5" s="35"/>
      <c r="X5" s="35" t="s">
        <v>81</v>
      </c>
      <c r="Y5" s="96"/>
      <c r="Z5" s="96"/>
      <c r="AA5" s="35" t="s">
        <v>82</v>
      </c>
      <c r="AB5" s="35"/>
      <c r="AC5" s="35"/>
      <c r="AD5" s="35"/>
      <c r="AE5" s="35"/>
      <c r="AF5" s="96"/>
      <c r="AG5" s="96"/>
      <c r="AH5" s="33">
        <f>COUNTIF(D5:AG5,"Leave")</f>
        <v>1</v>
      </c>
      <c r="AI5" s="34">
        <f>COUNTIF(A5:AG5,"WFH")</f>
        <v>5</v>
      </c>
      <c r="AJ5" s="34">
        <f t="shared" si="0"/>
        <v>0</v>
      </c>
    </row>
    <row r="6" spans="1:38">
      <c r="A6" s="62" t="s">
        <v>32</v>
      </c>
      <c r="B6" s="61" t="s">
        <v>33</v>
      </c>
      <c r="C6" s="22" t="s">
        <v>34</v>
      </c>
      <c r="D6" s="96"/>
      <c r="E6" s="96"/>
      <c r="F6" s="35"/>
      <c r="G6" s="35"/>
      <c r="H6" s="35"/>
      <c r="I6" s="35"/>
      <c r="J6" s="35"/>
      <c r="K6" s="96"/>
      <c r="L6" s="96"/>
      <c r="M6" s="35" t="s">
        <v>81</v>
      </c>
      <c r="N6" s="35"/>
      <c r="O6" s="35"/>
      <c r="P6" s="35"/>
      <c r="Q6" s="35"/>
      <c r="R6" s="96"/>
      <c r="S6" s="96"/>
      <c r="T6" s="35"/>
      <c r="U6" s="35"/>
      <c r="V6" s="35" t="s">
        <v>82</v>
      </c>
      <c r="W6" s="35" t="s">
        <v>82</v>
      </c>
      <c r="X6" s="35" t="s">
        <v>82</v>
      </c>
      <c r="Y6" s="96"/>
      <c r="Z6" s="96"/>
      <c r="AA6" s="35" t="s">
        <v>82</v>
      </c>
      <c r="AB6" s="35"/>
      <c r="AC6" s="35"/>
      <c r="AD6" s="35"/>
      <c r="AE6" s="35"/>
      <c r="AF6" s="96"/>
      <c r="AG6" s="96"/>
      <c r="AH6" s="33">
        <f>COUNTIF(D6:AG6,"Leave")</f>
        <v>1</v>
      </c>
      <c r="AI6" s="34">
        <f>COUNTIF(A6:AG6,"WFH")</f>
        <v>4</v>
      </c>
      <c r="AJ6" s="34">
        <f t="shared" si="0"/>
        <v>0</v>
      </c>
    </row>
    <row r="7" spans="1:38">
      <c r="A7" s="63" t="s">
        <v>35</v>
      </c>
      <c r="B7" s="61" t="s">
        <v>36</v>
      </c>
      <c r="C7" s="22" t="s">
        <v>37</v>
      </c>
      <c r="D7" s="96"/>
      <c r="E7" s="96"/>
      <c r="F7" s="35" t="s">
        <v>124</v>
      </c>
      <c r="G7" s="35" t="s">
        <v>81</v>
      </c>
      <c r="H7" s="35"/>
      <c r="I7" s="35"/>
      <c r="J7" s="35"/>
      <c r="K7" s="96"/>
      <c r="L7" s="96"/>
      <c r="M7" s="35" t="s">
        <v>82</v>
      </c>
      <c r="N7" s="35" t="s">
        <v>82</v>
      </c>
      <c r="O7" s="35" t="s">
        <v>82</v>
      </c>
      <c r="P7" s="35" t="s">
        <v>82</v>
      </c>
      <c r="Q7" s="35" t="s">
        <v>82</v>
      </c>
      <c r="R7" s="96"/>
      <c r="S7" s="96"/>
      <c r="T7" s="35" t="s">
        <v>82</v>
      </c>
      <c r="U7" s="35" t="s">
        <v>82</v>
      </c>
      <c r="V7" s="35" t="s">
        <v>82</v>
      </c>
      <c r="W7" s="35" t="s">
        <v>82</v>
      </c>
      <c r="X7" s="35" t="s">
        <v>81</v>
      </c>
      <c r="Y7" s="96"/>
      <c r="Z7" s="96"/>
      <c r="AA7" s="35" t="s">
        <v>82</v>
      </c>
      <c r="AB7" s="35" t="s">
        <v>82</v>
      </c>
      <c r="AC7" s="35" t="s">
        <v>82</v>
      </c>
      <c r="AD7" s="35" t="s">
        <v>82</v>
      </c>
      <c r="AE7" s="35" t="s">
        <v>82</v>
      </c>
      <c r="AF7" s="96"/>
      <c r="AG7" s="96"/>
      <c r="AH7" s="33">
        <f>COUNTIF(D7:AG7,"Leave")</f>
        <v>2</v>
      </c>
      <c r="AI7" s="34">
        <f>COUNTIF(A7:AG7,"WFH")</f>
        <v>14</v>
      </c>
      <c r="AJ7" s="34">
        <f t="shared" si="0"/>
        <v>1</v>
      </c>
    </row>
    <row r="8" spans="1:38">
      <c r="A8" s="64" t="s">
        <v>38</v>
      </c>
      <c r="B8" s="61" t="s">
        <v>39</v>
      </c>
      <c r="C8" s="27" t="s">
        <v>40</v>
      </c>
      <c r="D8" s="96"/>
      <c r="E8" s="96"/>
      <c r="F8" s="35"/>
      <c r="G8" s="35"/>
      <c r="H8" s="35"/>
      <c r="I8" s="35" t="s">
        <v>82</v>
      </c>
      <c r="J8" s="35"/>
      <c r="K8" s="96"/>
      <c r="L8" s="96"/>
      <c r="M8" s="35" t="s">
        <v>81</v>
      </c>
      <c r="N8" s="35"/>
      <c r="O8" s="35"/>
      <c r="P8" s="35"/>
      <c r="Q8" s="35"/>
      <c r="R8" s="96"/>
      <c r="S8" s="96"/>
      <c r="T8" s="35"/>
      <c r="U8" s="35"/>
      <c r="V8" s="35"/>
      <c r="W8" s="35"/>
      <c r="X8" s="35"/>
      <c r="Y8" s="96"/>
      <c r="Z8" s="96"/>
      <c r="AA8" s="35"/>
      <c r="AB8" s="35"/>
      <c r="AC8" s="35"/>
      <c r="AD8" s="35"/>
      <c r="AE8" s="35"/>
      <c r="AF8" s="96"/>
      <c r="AG8" s="96"/>
      <c r="AH8" s="33">
        <f>COUNTIF(D8:AG8,"Leave")</f>
        <v>1</v>
      </c>
      <c r="AI8" s="34">
        <f>COUNTIF(A8:AG8,"WFH")</f>
        <v>1</v>
      </c>
      <c r="AJ8" s="34">
        <f t="shared" si="0"/>
        <v>0</v>
      </c>
    </row>
    <row r="9" spans="1:38">
      <c r="A9" s="64" t="s">
        <v>41</v>
      </c>
      <c r="B9" s="61" t="s">
        <v>42</v>
      </c>
      <c r="C9" s="22" t="s">
        <v>43</v>
      </c>
      <c r="D9" s="96"/>
      <c r="E9" s="96"/>
      <c r="F9" s="35"/>
      <c r="G9" s="35"/>
      <c r="H9" s="35"/>
      <c r="I9" s="35"/>
      <c r="J9" s="35" t="s">
        <v>81</v>
      </c>
      <c r="K9" s="96"/>
      <c r="L9" s="96"/>
      <c r="M9" s="35"/>
      <c r="N9" s="35"/>
      <c r="O9" s="35"/>
      <c r="P9" s="35"/>
      <c r="Q9" s="35"/>
      <c r="R9" s="96"/>
      <c r="S9" s="96"/>
      <c r="T9" s="35"/>
      <c r="U9" s="35"/>
      <c r="V9" s="35"/>
      <c r="W9" s="35"/>
      <c r="X9" s="35"/>
      <c r="Y9" s="96"/>
      <c r="Z9" s="96"/>
      <c r="AA9" s="35"/>
      <c r="AB9" s="35"/>
      <c r="AC9" s="35"/>
      <c r="AD9" s="35" t="s">
        <v>81</v>
      </c>
      <c r="AE9" s="35"/>
      <c r="AF9" s="96"/>
      <c r="AG9" s="96"/>
      <c r="AH9" s="33">
        <f>COUNTIF(D9:AG9,"Leave")</f>
        <v>2</v>
      </c>
      <c r="AI9" s="34">
        <f>COUNTIF(A9:AG9,"WFH")</f>
        <v>0</v>
      </c>
      <c r="AJ9" s="34">
        <f t="shared" si="0"/>
        <v>0</v>
      </c>
    </row>
    <row r="10" spans="1:38">
      <c r="A10" s="64" t="s">
        <v>44</v>
      </c>
      <c r="B10" s="61" t="s">
        <v>45</v>
      </c>
      <c r="C10" s="22" t="s">
        <v>46</v>
      </c>
      <c r="D10" s="96"/>
      <c r="E10" s="96"/>
      <c r="F10" s="35"/>
      <c r="G10" s="35"/>
      <c r="H10" s="35"/>
      <c r="I10" s="35"/>
      <c r="J10" s="35"/>
      <c r="K10" s="96"/>
      <c r="L10" s="96"/>
      <c r="M10" s="35"/>
      <c r="N10" s="35"/>
      <c r="O10" s="35"/>
      <c r="P10" s="35"/>
      <c r="Q10" s="35"/>
      <c r="R10" s="96"/>
      <c r="S10" s="96"/>
      <c r="T10" s="35"/>
      <c r="U10" s="35"/>
      <c r="V10" s="35"/>
      <c r="W10" s="35"/>
      <c r="X10" s="35"/>
      <c r="Y10" s="96"/>
      <c r="Z10" s="96"/>
      <c r="AA10" s="35"/>
      <c r="AB10" s="35"/>
      <c r="AC10" s="35"/>
      <c r="AD10" s="35"/>
      <c r="AE10" s="35"/>
      <c r="AF10" s="96"/>
      <c r="AG10" s="96"/>
      <c r="AH10" s="33">
        <f>COUNTIF(D10:AG10,"Leave")</f>
        <v>0</v>
      </c>
      <c r="AI10" s="34">
        <f>COUNTIF(A10:AG10,"WFH")</f>
        <v>0</v>
      </c>
      <c r="AJ10" s="34">
        <f t="shared" si="0"/>
        <v>0</v>
      </c>
    </row>
    <row r="11" spans="1:38">
      <c r="A11" s="62" t="s">
        <v>47</v>
      </c>
      <c r="B11" s="61" t="s">
        <v>48</v>
      </c>
      <c r="C11" s="22" t="s">
        <v>49</v>
      </c>
      <c r="D11" s="96"/>
      <c r="E11" s="96"/>
      <c r="F11" s="35" t="s">
        <v>82</v>
      </c>
      <c r="G11" s="35"/>
      <c r="H11" s="35"/>
      <c r="I11" s="35"/>
      <c r="J11" s="35"/>
      <c r="K11" s="96"/>
      <c r="L11" s="96"/>
      <c r="M11" s="35"/>
      <c r="N11" s="35"/>
      <c r="O11" s="35"/>
      <c r="P11" s="35"/>
      <c r="Q11" s="35"/>
      <c r="R11" s="96"/>
      <c r="S11" s="96"/>
      <c r="T11" s="35" t="s">
        <v>82</v>
      </c>
      <c r="U11" s="35" t="s">
        <v>81</v>
      </c>
      <c r="V11" s="35" t="s">
        <v>81</v>
      </c>
      <c r="W11" s="35" t="s">
        <v>81</v>
      </c>
      <c r="X11" s="35" t="s">
        <v>81</v>
      </c>
      <c r="Y11" s="96"/>
      <c r="Z11" s="96"/>
      <c r="AA11" s="35"/>
      <c r="AB11" s="35"/>
      <c r="AC11" s="35"/>
      <c r="AD11" s="35"/>
      <c r="AE11" s="35"/>
      <c r="AF11" s="96"/>
      <c r="AG11" s="96"/>
      <c r="AH11" s="33">
        <f>COUNTIF(D11:AG11,"Leave")</f>
        <v>4</v>
      </c>
      <c r="AI11" s="34">
        <f>COUNTIF(A11:AG11,"WFH")</f>
        <v>2</v>
      </c>
      <c r="AJ11" s="34">
        <f t="shared" si="0"/>
        <v>0</v>
      </c>
      <c r="AK11">
        <f>4-1.5</f>
        <v>2.5</v>
      </c>
    </row>
    <row r="12" spans="1:38">
      <c r="A12" s="61" t="s">
        <v>50</v>
      </c>
      <c r="B12" s="61" t="s">
        <v>51</v>
      </c>
      <c r="C12" s="22" t="s">
        <v>52</v>
      </c>
      <c r="D12" s="96"/>
      <c r="E12" s="96"/>
      <c r="F12" s="35" t="s">
        <v>81</v>
      </c>
      <c r="G12" s="35" t="s">
        <v>82</v>
      </c>
      <c r="H12" s="35"/>
      <c r="I12" s="35"/>
      <c r="J12" s="35"/>
      <c r="K12" s="96"/>
      <c r="L12" s="96"/>
      <c r="M12" s="35"/>
      <c r="N12" s="35"/>
      <c r="O12" s="35"/>
      <c r="P12" s="35"/>
      <c r="Q12" s="35"/>
      <c r="R12" s="96"/>
      <c r="S12" s="96"/>
      <c r="T12" s="35"/>
      <c r="U12" s="35"/>
      <c r="V12" s="35"/>
      <c r="W12" s="35"/>
      <c r="X12" s="35"/>
      <c r="Y12" s="96"/>
      <c r="Z12" s="96"/>
      <c r="AA12" s="35"/>
      <c r="AB12" s="35"/>
      <c r="AC12" s="35" t="s">
        <v>81</v>
      </c>
      <c r="AD12" s="35"/>
      <c r="AE12" s="35"/>
      <c r="AF12" s="96"/>
      <c r="AG12" s="96"/>
      <c r="AH12" s="33">
        <f>COUNTIF(D12:AG12,"Leave")</f>
        <v>2</v>
      </c>
      <c r="AI12" s="34">
        <f>COUNTIF(A12:AG12,"WFH")</f>
        <v>1</v>
      </c>
      <c r="AJ12" s="34">
        <f t="shared" si="0"/>
        <v>0</v>
      </c>
    </row>
    <row r="13" spans="1:38">
      <c r="A13" s="66"/>
      <c r="B13" s="66" t="s">
        <v>55</v>
      </c>
      <c r="C13" s="20"/>
      <c r="D13" s="96"/>
      <c r="E13" s="96"/>
      <c r="F13" s="35"/>
      <c r="G13" s="35"/>
      <c r="H13" s="35"/>
      <c r="I13" s="35"/>
      <c r="J13" s="35"/>
      <c r="K13" s="96"/>
      <c r="L13" s="96"/>
      <c r="M13" s="35"/>
      <c r="N13" s="35"/>
      <c r="O13" s="35"/>
      <c r="P13" s="35" t="s">
        <v>82</v>
      </c>
      <c r="Q13" s="35" t="s">
        <v>82</v>
      </c>
      <c r="R13" s="96"/>
      <c r="S13" s="96"/>
      <c r="T13" s="35"/>
      <c r="U13" s="35"/>
      <c r="V13" s="35"/>
      <c r="W13" s="35"/>
      <c r="X13" s="35"/>
      <c r="Y13" s="96"/>
      <c r="Z13" s="96"/>
      <c r="AA13" s="35"/>
      <c r="AB13" s="35"/>
      <c r="AC13" s="35" t="s">
        <v>81</v>
      </c>
      <c r="AD13" s="35"/>
      <c r="AE13" s="35"/>
      <c r="AF13" s="96"/>
      <c r="AG13" s="96"/>
      <c r="AH13" s="33">
        <f>COUNTIF(D13:AG13,"Leave")</f>
        <v>1</v>
      </c>
      <c r="AI13" s="34">
        <f>COUNTIF(A13:AG13,"WFH")</f>
        <v>2</v>
      </c>
      <c r="AJ13" s="34">
        <f t="shared" si="0"/>
        <v>0</v>
      </c>
    </row>
    <row r="14" spans="1:38">
      <c r="A14" s="66"/>
      <c r="B14" s="66" t="s">
        <v>53</v>
      </c>
      <c r="C14" s="22" t="s">
        <v>59</v>
      </c>
      <c r="D14" s="96"/>
      <c r="E14" s="96"/>
      <c r="F14" s="35"/>
      <c r="G14" s="35" t="s">
        <v>81</v>
      </c>
      <c r="H14" s="35" t="s">
        <v>81</v>
      </c>
      <c r="I14" s="35" t="s">
        <v>81</v>
      </c>
      <c r="J14" s="35"/>
      <c r="K14" s="96"/>
      <c r="L14" s="96"/>
      <c r="M14" s="35"/>
      <c r="N14" s="35"/>
      <c r="O14" s="35"/>
      <c r="P14" s="35"/>
      <c r="Q14" s="35"/>
      <c r="R14" s="96"/>
      <c r="S14" s="96"/>
      <c r="T14" s="35"/>
      <c r="U14" s="35"/>
      <c r="V14" s="35"/>
      <c r="W14" s="35"/>
      <c r="X14" s="35"/>
      <c r="Y14" s="96"/>
      <c r="Z14" s="96"/>
      <c r="AA14" s="35"/>
      <c r="AB14" s="35"/>
      <c r="AC14" s="35"/>
      <c r="AD14" s="35"/>
      <c r="AE14" s="35"/>
      <c r="AF14" s="96"/>
      <c r="AG14" s="96"/>
      <c r="AH14" s="33">
        <f>COUNTIF(D14:AG14,"Leave")</f>
        <v>3</v>
      </c>
      <c r="AI14" s="34">
        <f>COUNTIF(A14:AG14,"WFH")</f>
        <v>0</v>
      </c>
      <c r="AJ14" s="34">
        <f t="shared" si="0"/>
        <v>0</v>
      </c>
    </row>
    <row r="15" spans="1:38">
      <c r="A15" s="66"/>
      <c r="B15" s="61" t="s">
        <v>60</v>
      </c>
      <c r="C15" s="22" t="s">
        <v>61</v>
      </c>
      <c r="D15" s="96"/>
      <c r="E15" s="96"/>
      <c r="F15" s="35"/>
      <c r="G15" s="35"/>
      <c r="H15" s="35"/>
      <c r="I15" s="35"/>
      <c r="J15" s="35"/>
      <c r="K15" s="96"/>
      <c r="L15" s="96"/>
      <c r="M15" s="35"/>
      <c r="N15" s="35"/>
      <c r="O15" s="35"/>
      <c r="P15" s="35"/>
      <c r="Q15" s="35"/>
      <c r="R15" s="96"/>
      <c r="S15" s="96"/>
      <c r="T15" s="35"/>
      <c r="U15" s="35"/>
      <c r="V15" s="35"/>
      <c r="W15" s="35"/>
      <c r="X15" s="35"/>
      <c r="Y15" s="96"/>
      <c r="Z15" s="96"/>
      <c r="AA15" s="35"/>
      <c r="AB15" s="35"/>
      <c r="AC15" s="35"/>
      <c r="AD15" s="35"/>
      <c r="AE15" s="35"/>
      <c r="AF15" s="96"/>
      <c r="AG15" s="96"/>
      <c r="AH15" s="33">
        <f>COUNTIF(D15:AG15,"Leave")</f>
        <v>0</v>
      </c>
      <c r="AI15" s="34">
        <f>COUNTIF(A15:AG15,"WFH")</f>
        <v>0</v>
      </c>
      <c r="AJ15" s="34">
        <f t="shared" si="0"/>
        <v>0</v>
      </c>
    </row>
    <row r="16" spans="1:38">
      <c r="A16" s="66"/>
      <c r="B16" s="61" t="s">
        <v>62</v>
      </c>
      <c r="C16" s="22" t="s">
        <v>63</v>
      </c>
      <c r="D16" s="96"/>
      <c r="E16" s="96"/>
      <c r="F16" s="35"/>
      <c r="G16" s="35" t="s">
        <v>82</v>
      </c>
      <c r="H16" s="35"/>
      <c r="I16" s="35"/>
      <c r="J16" s="35"/>
      <c r="K16" s="96"/>
      <c r="L16" s="96"/>
      <c r="M16" s="35" t="s">
        <v>82</v>
      </c>
      <c r="N16" s="35"/>
      <c r="O16" s="35"/>
      <c r="P16" s="35"/>
      <c r="Q16" s="35"/>
      <c r="R16" s="96"/>
      <c r="S16" s="96"/>
      <c r="T16" s="35"/>
      <c r="U16" s="35"/>
      <c r="V16" s="35"/>
      <c r="W16" s="35"/>
      <c r="X16" s="35"/>
      <c r="Y16" s="96"/>
      <c r="Z16" s="96"/>
      <c r="AA16" s="35"/>
      <c r="AB16" s="35"/>
      <c r="AC16" s="35"/>
      <c r="AD16" s="35"/>
      <c r="AE16" s="35"/>
      <c r="AF16" s="96"/>
      <c r="AG16" s="96"/>
      <c r="AH16" s="33">
        <f>COUNTIF(D16:AG16,"Leave")</f>
        <v>0</v>
      </c>
      <c r="AI16" s="34">
        <f>COUNTIF(A16:AG16,"WFH")</f>
        <v>2</v>
      </c>
      <c r="AJ16" s="34">
        <f t="shared" si="0"/>
        <v>0</v>
      </c>
    </row>
    <row r="17" spans="1:38">
      <c r="A17" s="66"/>
      <c r="B17" s="61" t="s">
        <v>65</v>
      </c>
      <c r="C17" s="22" t="s">
        <v>63</v>
      </c>
      <c r="D17" s="96"/>
      <c r="E17" s="96"/>
      <c r="F17" s="35"/>
      <c r="G17" s="35"/>
      <c r="H17" s="35"/>
      <c r="I17" s="35"/>
      <c r="J17" s="35"/>
      <c r="K17" s="96"/>
      <c r="L17" s="96"/>
      <c r="M17" s="35"/>
      <c r="N17" s="35"/>
      <c r="O17" s="35"/>
      <c r="P17" s="35"/>
      <c r="Q17" s="35"/>
      <c r="R17" s="96"/>
      <c r="S17" s="96"/>
      <c r="T17" s="35"/>
      <c r="U17" s="35"/>
      <c r="V17" s="35"/>
      <c r="W17" s="35"/>
      <c r="X17" s="35"/>
      <c r="Y17" s="96"/>
      <c r="Z17" s="96"/>
      <c r="AA17" s="35"/>
      <c r="AB17" s="35"/>
      <c r="AC17" s="35"/>
      <c r="AD17" s="35"/>
      <c r="AE17" s="35"/>
      <c r="AF17" s="96"/>
      <c r="AG17" s="96"/>
      <c r="AH17" s="33">
        <f>COUNTIF(D17:AG17,"Leave")</f>
        <v>0</v>
      </c>
      <c r="AI17" s="34">
        <f>COUNTIF(A17:AG17,"WFH")</f>
        <v>0</v>
      </c>
      <c r="AJ17" s="34">
        <f t="shared" si="0"/>
        <v>0</v>
      </c>
    </row>
    <row r="18" spans="1:38">
      <c r="A18" s="66"/>
      <c r="B18" s="61" t="s">
        <v>66</v>
      </c>
      <c r="C18" s="22" t="s">
        <v>67</v>
      </c>
      <c r="D18" s="96"/>
      <c r="E18" s="96"/>
      <c r="F18" s="35"/>
      <c r="G18" s="35"/>
      <c r="H18" s="35"/>
      <c r="I18" s="35" t="s">
        <v>81</v>
      </c>
      <c r="J18" s="35"/>
      <c r="K18" s="96"/>
      <c r="L18" s="96"/>
      <c r="M18" s="35"/>
      <c r="N18" s="35"/>
      <c r="O18" s="35"/>
      <c r="P18" s="35"/>
      <c r="Q18" s="35"/>
      <c r="R18" s="96"/>
      <c r="S18" s="96"/>
      <c r="T18" s="35"/>
      <c r="U18" s="35"/>
      <c r="V18" s="35"/>
      <c r="W18" s="35"/>
      <c r="X18" s="35"/>
      <c r="Y18" s="96"/>
      <c r="Z18" s="96"/>
      <c r="AA18" s="35"/>
      <c r="AB18" s="35"/>
      <c r="AC18" s="35"/>
      <c r="AD18" s="35"/>
      <c r="AE18" s="35"/>
      <c r="AF18" s="96"/>
      <c r="AG18" s="96"/>
      <c r="AH18" s="33">
        <f>COUNTIF(D18:AG18,"Leave")</f>
        <v>1</v>
      </c>
      <c r="AI18" s="34">
        <f>COUNTIF(A18:AG18,"WFH")</f>
        <v>0</v>
      </c>
      <c r="AJ18" s="34">
        <f t="shared" si="0"/>
        <v>0</v>
      </c>
    </row>
    <row r="19" spans="1:38">
      <c r="A19" s="66"/>
      <c r="B19" s="61" t="s">
        <v>69</v>
      </c>
      <c r="C19" s="22" t="s">
        <v>67</v>
      </c>
      <c r="D19" s="96"/>
      <c r="E19" s="96"/>
      <c r="F19" s="35"/>
      <c r="G19" s="35"/>
      <c r="H19" s="35"/>
      <c r="I19" s="35"/>
      <c r="J19" s="35" t="s">
        <v>81</v>
      </c>
      <c r="K19" s="96"/>
      <c r="L19" s="96"/>
      <c r="M19" s="35"/>
      <c r="N19" s="35"/>
      <c r="O19" s="35"/>
      <c r="P19" s="35"/>
      <c r="Q19" s="35"/>
      <c r="R19" s="96"/>
      <c r="S19" s="96"/>
      <c r="T19" s="35"/>
      <c r="U19" s="35"/>
      <c r="V19" s="35"/>
      <c r="W19" s="35"/>
      <c r="X19" s="35"/>
      <c r="Y19" s="96"/>
      <c r="Z19" s="96"/>
      <c r="AA19" s="35"/>
      <c r="AB19" s="35"/>
      <c r="AC19" s="35"/>
      <c r="AD19" s="35"/>
      <c r="AE19" s="35"/>
      <c r="AF19" s="96"/>
      <c r="AG19" s="96"/>
      <c r="AH19" s="33">
        <f>COUNTIF(D19:AG19,"Leave")</f>
        <v>1</v>
      </c>
      <c r="AI19" s="34">
        <f>COUNTIF(A19:AG19,"WFH")</f>
        <v>0</v>
      </c>
      <c r="AJ19" s="34">
        <f t="shared" si="0"/>
        <v>0</v>
      </c>
    </row>
    <row r="20" spans="1:38">
      <c r="A20" s="65"/>
      <c r="B20" s="67" t="s">
        <v>70</v>
      </c>
      <c r="C20" s="27" t="s">
        <v>71</v>
      </c>
      <c r="D20" s="96"/>
      <c r="E20" s="96"/>
      <c r="F20" s="35" t="s">
        <v>81</v>
      </c>
      <c r="G20" s="35" t="s">
        <v>81</v>
      </c>
      <c r="H20" s="35"/>
      <c r="I20" s="35"/>
      <c r="J20" s="35"/>
      <c r="K20" s="96"/>
      <c r="L20" s="96"/>
      <c r="M20" s="35"/>
      <c r="N20" s="35"/>
      <c r="O20" s="35"/>
      <c r="P20" s="35"/>
      <c r="Q20" s="35"/>
      <c r="R20" s="96"/>
      <c r="S20" s="96"/>
      <c r="T20" s="35"/>
      <c r="U20" s="35"/>
      <c r="V20" s="35"/>
      <c r="W20" s="35"/>
      <c r="X20" s="35"/>
      <c r="Y20" s="96"/>
      <c r="Z20" s="96"/>
      <c r="AA20" s="35"/>
      <c r="AB20" s="35"/>
      <c r="AC20" s="35"/>
      <c r="AD20" s="35"/>
      <c r="AE20" s="35"/>
      <c r="AF20" s="96"/>
      <c r="AG20" s="96"/>
      <c r="AH20" s="33">
        <f>COUNTIF(D20:AG20,"Leave")</f>
        <v>2</v>
      </c>
      <c r="AI20" s="34">
        <f>COUNTIF(A20:AG20,"WFH")</f>
        <v>0</v>
      </c>
      <c r="AJ20" s="34">
        <f t="shared" si="0"/>
        <v>0</v>
      </c>
    </row>
    <row r="21" spans="1:38">
      <c r="A21" s="66"/>
      <c r="B21" s="65" t="s">
        <v>72</v>
      </c>
      <c r="C21" s="27" t="s">
        <v>73</v>
      </c>
      <c r="D21" s="96"/>
      <c r="E21" s="96"/>
      <c r="F21" s="35" t="s">
        <v>81</v>
      </c>
      <c r="G21" s="35"/>
      <c r="H21" s="35"/>
      <c r="I21" s="35"/>
      <c r="J21" s="35"/>
      <c r="K21" s="96"/>
      <c r="L21" s="96"/>
      <c r="M21" s="35"/>
      <c r="N21" s="35"/>
      <c r="O21" s="35"/>
      <c r="P21" s="35"/>
      <c r="Q21" s="35"/>
      <c r="R21" s="96"/>
      <c r="S21" s="96"/>
      <c r="T21" s="35"/>
      <c r="U21" s="35"/>
      <c r="V21" s="35"/>
      <c r="W21" s="35"/>
      <c r="X21" s="35"/>
      <c r="Y21" s="96"/>
      <c r="Z21" s="96"/>
      <c r="AA21" s="35"/>
      <c r="AB21" s="35"/>
      <c r="AC21" s="35"/>
      <c r="AD21" s="35"/>
      <c r="AE21" s="35"/>
      <c r="AF21" s="96"/>
      <c r="AG21" s="96"/>
      <c r="AH21" s="33">
        <f>COUNTIF(D21:AG21,"Leave")</f>
        <v>1</v>
      </c>
      <c r="AI21" s="34">
        <f>COUNTIF(A21:AG21,"WFH")</f>
        <v>0</v>
      </c>
      <c r="AJ21" s="34">
        <f t="shared" si="0"/>
        <v>0</v>
      </c>
    </row>
    <row r="22" spans="1:38">
      <c r="A22" s="29" t="s">
        <v>74</v>
      </c>
      <c r="B22" s="28" t="s">
        <v>75</v>
      </c>
      <c r="C22" s="29" t="s">
        <v>76</v>
      </c>
      <c r="D22" s="96"/>
      <c r="E22" s="96"/>
      <c r="F22" s="35"/>
      <c r="G22" s="35"/>
      <c r="H22" s="35"/>
      <c r="I22" s="35" t="s">
        <v>81</v>
      </c>
      <c r="J22" s="35" t="s">
        <v>81</v>
      </c>
      <c r="K22" s="96"/>
      <c r="L22" s="96"/>
      <c r="M22" s="35"/>
      <c r="N22" s="35"/>
      <c r="O22" s="35"/>
      <c r="P22" s="35"/>
      <c r="Q22" s="35"/>
      <c r="R22" s="96"/>
      <c r="S22" s="96"/>
      <c r="T22" s="35"/>
      <c r="U22" s="35"/>
      <c r="V22" s="35"/>
      <c r="W22" s="35"/>
      <c r="X22" s="35"/>
      <c r="Y22" s="96"/>
      <c r="Z22" s="96"/>
      <c r="AA22" s="35"/>
      <c r="AB22" s="35"/>
      <c r="AC22" s="35"/>
      <c r="AD22" s="35"/>
      <c r="AE22" s="35"/>
      <c r="AF22" s="96"/>
      <c r="AG22" s="96"/>
      <c r="AH22" s="33">
        <f>COUNTIF(D22:AG22,"Leave")</f>
        <v>2</v>
      </c>
      <c r="AI22" s="34">
        <f>COUNTIF(A22:AG22,"WFH")</f>
        <v>0</v>
      </c>
      <c r="AJ22" s="34">
        <f t="shared" si="0"/>
        <v>0</v>
      </c>
      <c r="AL22" t="s">
        <v>127</v>
      </c>
    </row>
    <row r="23" spans="1:38">
      <c r="A23" s="8"/>
      <c r="B23" s="8" t="s">
        <v>77</v>
      </c>
      <c r="C23" s="8" t="s">
        <v>78</v>
      </c>
      <c r="D23" s="97"/>
      <c r="E23" s="96"/>
      <c r="F23" s="35"/>
      <c r="G23" s="35"/>
      <c r="H23" s="35"/>
      <c r="I23" s="35"/>
      <c r="J23" s="35"/>
      <c r="K23" s="96"/>
      <c r="L23" s="96"/>
      <c r="M23" s="35"/>
      <c r="N23" s="35"/>
      <c r="O23" s="35"/>
      <c r="P23" s="35"/>
      <c r="Q23" s="35"/>
      <c r="R23" s="96"/>
      <c r="S23" s="96"/>
      <c r="T23" s="35"/>
      <c r="U23" s="35"/>
      <c r="V23" s="35"/>
      <c r="W23" s="35"/>
      <c r="X23" s="35"/>
      <c r="Y23" s="96"/>
      <c r="Z23" s="96"/>
      <c r="AA23" s="35"/>
      <c r="AB23" s="35"/>
      <c r="AC23" s="35"/>
      <c r="AD23" s="35"/>
      <c r="AE23" s="35"/>
      <c r="AF23" s="96"/>
      <c r="AG23" s="96"/>
      <c r="AH23" s="33">
        <f>COUNTIF(D23:AG23,"Leave")</f>
        <v>0</v>
      </c>
      <c r="AI23" s="34">
        <f>COUNTIF(A23:AG23,"WFH")</f>
        <v>0</v>
      </c>
      <c r="AJ23" s="34">
        <f t="shared" si="0"/>
        <v>0</v>
      </c>
    </row>
    <row r="24" spans="1:38">
      <c r="A24" s="8"/>
      <c r="B24" s="8" t="s">
        <v>79</v>
      </c>
      <c r="C24" s="8" t="s">
        <v>80</v>
      </c>
      <c r="D24" s="97"/>
      <c r="E24" s="96"/>
      <c r="F24" s="35"/>
      <c r="G24" s="35"/>
      <c r="H24" s="35"/>
      <c r="I24" s="35"/>
      <c r="J24" s="35"/>
      <c r="K24" s="96"/>
      <c r="L24" s="96"/>
      <c r="M24" s="35"/>
      <c r="N24" s="35"/>
      <c r="O24" s="35"/>
      <c r="P24" s="35"/>
      <c r="Q24" s="35"/>
      <c r="R24" s="96"/>
      <c r="S24" s="96"/>
      <c r="T24" s="35"/>
      <c r="U24" s="35"/>
      <c r="V24" s="35"/>
      <c r="W24" s="35"/>
      <c r="X24" s="35"/>
      <c r="Y24" s="96"/>
      <c r="Z24" s="96"/>
      <c r="AA24" s="35"/>
      <c r="AB24" s="35"/>
      <c r="AC24" s="35" t="s">
        <v>81</v>
      </c>
      <c r="AD24" s="35"/>
      <c r="AE24" s="35"/>
      <c r="AF24" s="96"/>
      <c r="AG24" s="96"/>
      <c r="AH24" s="33">
        <f>COUNTIF(D24:AG24,"Leave")</f>
        <v>1</v>
      </c>
      <c r="AI24" s="34">
        <f>COUNTIF(A24:AG24,"WFH")</f>
        <v>0</v>
      </c>
      <c r="AJ24" s="34">
        <f t="shared" ref="AJ24" si="1">COUNTIF(B24:AG24,"NA")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86A8-E12B-48C9-B0F0-5EE5ED3E8D99}">
  <dimension ref="A1:AM23"/>
  <sheetViews>
    <sheetView topLeftCell="I1" workbookViewId="0">
      <selection activeCell="AB1" sqref="AB1"/>
    </sheetView>
  </sheetViews>
  <sheetFormatPr defaultRowHeight="15"/>
  <cols>
    <col min="1" max="1" width="9.140625" style="117"/>
    <col min="2" max="2" width="27.42578125" style="117" bestFit="1" customWidth="1"/>
    <col min="3" max="3" width="16.140625" style="117" customWidth="1"/>
    <col min="4" max="13" width="9.140625" style="117"/>
    <col min="14" max="15" width="10.5703125" style="117" bestFit="1" customWidth="1"/>
    <col min="16" max="38" width="9.140625" style="117"/>
    <col min="39" max="39" width="28.7109375" style="117" bestFit="1" customWidth="1"/>
    <col min="40" max="16384" width="9.140625" style="117"/>
  </cols>
  <sheetData>
    <row r="1" spans="1:39" s="103" customFormat="1">
      <c r="A1" s="103" t="s">
        <v>0</v>
      </c>
      <c r="B1" s="103" t="s">
        <v>1</v>
      </c>
      <c r="C1" s="103" t="s">
        <v>2</v>
      </c>
      <c r="D1" s="104">
        <v>45992</v>
      </c>
      <c r="E1" s="104">
        <v>45993</v>
      </c>
      <c r="F1" s="104">
        <v>45994</v>
      </c>
      <c r="G1" s="104">
        <v>45995</v>
      </c>
      <c r="H1" s="104">
        <v>45996</v>
      </c>
      <c r="I1" s="105">
        <v>45997</v>
      </c>
      <c r="J1" s="105">
        <v>45998</v>
      </c>
      <c r="K1" s="104">
        <v>45999</v>
      </c>
      <c r="L1" s="104">
        <v>46000</v>
      </c>
      <c r="M1" s="104">
        <v>46001</v>
      </c>
      <c r="N1" s="104">
        <v>46002</v>
      </c>
      <c r="O1" s="104">
        <v>46003</v>
      </c>
      <c r="P1" s="105">
        <v>46004</v>
      </c>
      <c r="Q1" s="105">
        <v>46005</v>
      </c>
      <c r="R1" s="104">
        <v>46006</v>
      </c>
      <c r="S1" s="104">
        <v>46007</v>
      </c>
      <c r="T1" s="104">
        <v>46008</v>
      </c>
      <c r="U1" s="104">
        <v>46009</v>
      </c>
      <c r="V1" s="104">
        <v>46010</v>
      </c>
      <c r="W1" s="105">
        <v>46011</v>
      </c>
      <c r="X1" s="105">
        <v>46012</v>
      </c>
      <c r="Y1" s="104">
        <v>46013</v>
      </c>
      <c r="Z1" s="104">
        <v>46014</v>
      </c>
      <c r="AA1" s="104">
        <v>46015</v>
      </c>
      <c r="AB1" s="124">
        <v>46016</v>
      </c>
      <c r="AC1" s="104">
        <v>46017</v>
      </c>
      <c r="AD1" s="105">
        <v>46018</v>
      </c>
      <c r="AE1" s="105">
        <v>46019</v>
      </c>
      <c r="AF1" s="104">
        <v>46020</v>
      </c>
      <c r="AG1" s="104">
        <v>46021</v>
      </c>
      <c r="AH1" s="106">
        <v>46022</v>
      </c>
      <c r="AI1" s="107" t="s">
        <v>81</v>
      </c>
      <c r="AJ1" s="108" t="s">
        <v>82</v>
      </c>
      <c r="AK1" s="108" t="s">
        <v>124</v>
      </c>
      <c r="AL1" s="109" t="s">
        <v>20</v>
      </c>
      <c r="AM1" s="103" t="s">
        <v>120</v>
      </c>
    </row>
    <row r="2" spans="1:39">
      <c r="A2" s="110" t="s">
        <v>21</v>
      </c>
      <c r="B2" s="1" t="s">
        <v>22</v>
      </c>
      <c r="C2" s="111" t="s">
        <v>23</v>
      </c>
      <c r="D2" s="112" t="s">
        <v>82</v>
      </c>
      <c r="E2" s="112"/>
      <c r="F2" s="112"/>
      <c r="G2" s="112"/>
      <c r="H2" s="112"/>
      <c r="I2" s="113"/>
      <c r="J2" s="113"/>
      <c r="K2" s="112"/>
      <c r="L2" s="112"/>
      <c r="M2" s="112" t="s">
        <v>82</v>
      </c>
      <c r="N2" s="112" t="s">
        <v>82</v>
      </c>
      <c r="O2" s="112" t="s">
        <v>82</v>
      </c>
      <c r="P2" s="113"/>
      <c r="Q2" s="113"/>
      <c r="R2" s="112" t="s">
        <v>81</v>
      </c>
      <c r="S2" s="112" t="s">
        <v>81</v>
      </c>
      <c r="T2" s="112" t="s">
        <v>81</v>
      </c>
      <c r="U2" s="112" t="s">
        <v>81</v>
      </c>
      <c r="V2" s="112"/>
      <c r="W2" s="113"/>
      <c r="X2" s="113"/>
      <c r="Y2" s="112"/>
      <c r="Z2" s="112" t="s">
        <v>82</v>
      </c>
      <c r="AA2" s="112"/>
      <c r="AB2" s="125"/>
      <c r="AC2" s="112"/>
      <c r="AD2" s="113"/>
      <c r="AE2" s="113"/>
      <c r="AF2" s="112"/>
      <c r="AG2" s="112"/>
      <c r="AH2" s="114"/>
      <c r="AI2" s="115">
        <f>COUNTIF(D2:AH2,"Leave")</f>
        <v>4</v>
      </c>
      <c r="AJ2" s="116">
        <f>COUNTIF(A2:AH2,"WFH")</f>
        <v>5</v>
      </c>
      <c r="AK2" s="116">
        <f>COUNTIF(B2:AH2,"NA")</f>
        <v>0</v>
      </c>
    </row>
    <row r="3" spans="1:39">
      <c r="A3" s="110" t="s">
        <v>24</v>
      </c>
      <c r="B3" s="1" t="s">
        <v>25</v>
      </c>
      <c r="C3" s="111" t="s">
        <v>26</v>
      </c>
      <c r="D3" s="112"/>
      <c r="E3" s="112"/>
      <c r="F3" s="112"/>
      <c r="G3" s="112"/>
      <c r="H3" s="112"/>
      <c r="I3" s="113"/>
      <c r="J3" s="113"/>
      <c r="K3" s="112"/>
      <c r="L3" s="112"/>
      <c r="M3" s="112"/>
      <c r="N3" s="112"/>
      <c r="O3" s="112"/>
      <c r="P3" s="113"/>
      <c r="Q3" s="113"/>
      <c r="R3" s="112"/>
      <c r="S3" s="112"/>
      <c r="T3" s="112"/>
      <c r="U3" s="112"/>
      <c r="V3" s="112"/>
      <c r="W3" s="113"/>
      <c r="X3" s="113"/>
      <c r="Y3" s="112"/>
      <c r="Z3" s="112"/>
      <c r="AA3" s="112"/>
      <c r="AB3" s="125"/>
      <c r="AC3" s="112"/>
      <c r="AD3" s="113"/>
      <c r="AE3" s="113"/>
      <c r="AF3" s="112"/>
      <c r="AG3" s="112"/>
      <c r="AH3" s="114"/>
      <c r="AI3" s="115">
        <f t="shared" ref="AI3:AI23" si="0">COUNTIF(D3:AH3,"Leave")</f>
        <v>0</v>
      </c>
      <c r="AJ3" s="116">
        <f t="shared" ref="AJ3:AJ23" si="1">COUNTIF(A3:AH3,"WFH")</f>
        <v>0</v>
      </c>
      <c r="AK3" s="116">
        <f t="shared" ref="AK3:AK23" si="2">COUNTIF(B3:AH3,"NA")</f>
        <v>0</v>
      </c>
    </row>
    <row r="4" spans="1:39">
      <c r="A4" s="110" t="s">
        <v>27</v>
      </c>
      <c r="B4" s="1" t="s">
        <v>28</v>
      </c>
      <c r="C4" s="22" t="s">
        <v>29</v>
      </c>
      <c r="D4" s="112" t="s">
        <v>82</v>
      </c>
      <c r="E4" s="112" t="s">
        <v>82</v>
      </c>
      <c r="F4" s="112" t="s">
        <v>82</v>
      </c>
      <c r="G4" s="112" t="s">
        <v>82</v>
      </c>
      <c r="H4" s="112" t="s">
        <v>82</v>
      </c>
      <c r="I4" s="113"/>
      <c r="J4" s="113"/>
      <c r="K4" s="112" t="s">
        <v>82</v>
      </c>
      <c r="L4" s="112"/>
      <c r="M4" s="112"/>
      <c r="N4" s="112"/>
      <c r="O4" s="112"/>
      <c r="P4" s="113"/>
      <c r="Q4" s="113"/>
      <c r="R4" s="112"/>
      <c r="S4" s="112"/>
      <c r="T4" s="112"/>
      <c r="U4" s="112"/>
      <c r="V4" s="112"/>
      <c r="W4" s="113"/>
      <c r="X4" s="113"/>
      <c r="Y4" s="112"/>
      <c r="Z4" s="112"/>
      <c r="AA4" s="112"/>
      <c r="AB4" s="125"/>
      <c r="AC4" s="112"/>
      <c r="AD4" s="113"/>
      <c r="AE4" s="113"/>
      <c r="AF4" s="112"/>
      <c r="AG4" s="112"/>
      <c r="AH4" s="114"/>
      <c r="AI4" s="115">
        <f t="shared" si="0"/>
        <v>0</v>
      </c>
      <c r="AJ4" s="116">
        <f t="shared" si="1"/>
        <v>6</v>
      </c>
      <c r="AK4" s="116">
        <f t="shared" si="2"/>
        <v>0</v>
      </c>
    </row>
    <row r="5" spans="1:39">
      <c r="A5" s="110" t="s">
        <v>30</v>
      </c>
      <c r="B5" s="1" t="s">
        <v>31</v>
      </c>
      <c r="C5" s="22" t="s">
        <v>29</v>
      </c>
      <c r="D5" s="112" t="s">
        <v>82</v>
      </c>
      <c r="E5" s="112" t="s">
        <v>82</v>
      </c>
      <c r="F5" s="112" t="s">
        <v>82</v>
      </c>
      <c r="G5" s="112" t="s">
        <v>82</v>
      </c>
      <c r="H5" s="112" t="s">
        <v>82</v>
      </c>
      <c r="I5" s="113"/>
      <c r="J5" s="113"/>
      <c r="K5" s="112" t="s">
        <v>82</v>
      </c>
      <c r="L5" s="112"/>
      <c r="M5" s="112"/>
      <c r="N5" s="112" t="s">
        <v>81</v>
      </c>
      <c r="O5" s="112" t="s">
        <v>81</v>
      </c>
      <c r="P5" s="113"/>
      <c r="Q5" s="113"/>
      <c r="R5" s="112"/>
      <c r="S5" s="112"/>
      <c r="T5" s="112"/>
      <c r="U5" s="112"/>
      <c r="V5" s="112"/>
      <c r="W5" s="113"/>
      <c r="X5" s="113"/>
      <c r="Y5" s="112"/>
      <c r="Z5" s="112"/>
      <c r="AA5" s="112"/>
      <c r="AB5" s="125"/>
      <c r="AC5" s="112"/>
      <c r="AD5" s="113"/>
      <c r="AE5" s="113"/>
      <c r="AF5" s="112"/>
      <c r="AG5" s="112"/>
      <c r="AH5" s="114"/>
      <c r="AI5" s="115">
        <f t="shared" si="0"/>
        <v>2</v>
      </c>
      <c r="AJ5" s="116">
        <f t="shared" si="1"/>
        <v>6</v>
      </c>
      <c r="AK5" s="116">
        <f t="shared" si="2"/>
        <v>0</v>
      </c>
    </row>
    <row r="6" spans="1:39">
      <c r="A6" s="118" t="s">
        <v>32</v>
      </c>
      <c r="B6" s="1" t="s">
        <v>33</v>
      </c>
      <c r="C6" s="22" t="s">
        <v>34</v>
      </c>
      <c r="D6" s="112"/>
      <c r="E6" s="112"/>
      <c r="F6" s="112"/>
      <c r="G6" s="112"/>
      <c r="H6" s="112" t="s">
        <v>82</v>
      </c>
      <c r="I6" s="113"/>
      <c r="J6" s="113"/>
      <c r="K6" s="112"/>
      <c r="L6" s="112"/>
      <c r="M6" s="112"/>
      <c r="N6" s="112"/>
      <c r="O6" s="112"/>
      <c r="P6" s="113"/>
      <c r="Q6" s="113"/>
      <c r="R6" s="112"/>
      <c r="S6" s="112" t="s">
        <v>82</v>
      </c>
      <c r="T6" s="112"/>
      <c r="U6" s="112"/>
      <c r="V6" s="112"/>
      <c r="W6" s="113"/>
      <c r="X6" s="113"/>
      <c r="Y6" s="112"/>
      <c r="Z6" s="112"/>
      <c r="AA6" s="112"/>
      <c r="AB6" s="125"/>
      <c r="AC6" s="112"/>
      <c r="AD6" s="113"/>
      <c r="AE6" s="113"/>
      <c r="AF6" s="112"/>
      <c r="AG6" s="112"/>
      <c r="AH6" s="114"/>
      <c r="AI6" s="115">
        <f t="shared" si="0"/>
        <v>0</v>
      </c>
      <c r="AJ6" s="116">
        <f t="shared" si="1"/>
        <v>2</v>
      </c>
      <c r="AK6" s="116">
        <f t="shared" si="2"/>
        <v>0</v>
      </c>
    </row>
    <row r="7" spans="1:39">
      <c r="A7" s="119" t="s">
        <v>35</v>
      </c>
      <c r="B7" s="1" t="s">
        <v>36</v>
      </c>
      <c r="C7" s="22" t="s">
        <v>37</v>
      </c>
      <c r="D7" s="112" t="s">
        <v>82</v>
      </c>
      <c r="E7" s="112" t="s">
        <v>82</v>
      </c>
      <c r="F7" s="112" t="s">
        <v>82</v>
      </c>
      <c r="G7" s="112" t="s">
        <v>82</v>
      </c>
      <c r="H7" s="112" t="s">
        <v>82</v>
      </c>
      <c r="I7" s="113"/>
      <c r="J7" s="113"/>
      <c r="K7" s="112" t="s">
        <v>82</v>
      </c>
      <c r="L7" s="112" t="s">
        <v>82</v>
      </c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3"/>
      <c r="X7" s="113"/>
      <c r="Y7" s="112"/>
      <c r="Z7" s="112"/>
      <c r="AA7" s="112"/>
      <c r="AB7" s="125"/>
      <c r="AC7" s="112"/>
      <c r="AD7" s="113"/>
      <c r="AE7" s="113"/>
      <c r="AF7" s="112"/>
      <c r="AG7" s="112"/>
      <c r="AH7" s="114"/>
      <c r="AI7" s="115">
        <f t="shared" si="0"/>
        <v>0</v>
      </c>
      <c r="AJ7" s="116">
        <f t="shared" si="1"/>
        <v>7</v>
      </c>
      <c r="AK7" s="116">
        <f t="shared" si="2"/>
        <v>0</v>
      </c>
    </row>
    <row r="8" spans="1:39">
      <c r="A8" s="120" t="s">
        <v>38</v>
      </c>
      <c r="B8" s="1" t="s">
        <v>39</v>
      </c>
      <c r="C8" s="27" t="s">
        <v>40</v>
      </c>
      <c r="D8" s="112" t="s">
        <v>82</v>
      </c>
      <c r="E8" s="112"/>
      <c r="F8" s="112"/>
      <c r="G8" s="112"/>
      <c r="H8" s="112"/>
      <c r="I8" s="113"/>
      <c r="J8" s="113"/>
      <c r="K8" s="112" t="s">
        <v>81</v>
      </c>
      <c r="L8" s="112" t="s">
        <v>81</v>
      </c>
      <c r="M8" s="112"/>
      <c r="N8" s="112"/>
      <c r="O8" s="112"/>
      <c r="P8" s="113"/>
      <c r="Q8" s="113"/>
      <c r="R8" s="112"/>
      <c r="S8" s="112"/>
      <c r="T8" s="112"/>
      <c r="U8" s="112"/>
      <c r="V8" s="112" t="s">
        <v>82</v>
      </c>
      <c r="W8" s="113"/>
      <c r="X8" s="113"/>
      <c r="Y8" s="112" t="s">
        <v>81</v>
      </c>
      <c r="Z8" s="112"/>
      <c r="AA8" s="112"/>
      <c r="AB8" s="125"/>
      <c r="AC8" s="112"/>
      <c r="AD8" s="113"/>
      <c r="AE8" s="113"/>
      <c r="AF8" s="112"/>
      <c r="AG8" s="112"/>
      <c r="AH8" s="114"/>
      <c r="AI8" s="115">
        <f t="shared" si="0"/>
        <v>3</v>
      </c>
      <c r="AJ8" s="116">
        <f t="shared" si="1"/>
        <v>2</v>
      </c>
      <c r="AK8" s="116">
        <f t="shared" si="2"/>
        <v>0</v>
      </c>
    </row>
    <row r="9" spans="1:39">
      <c r="A9" s="120" t="s">
        <v>41</v>
      </c>
      <c r="B9" s="1" t="s">
        <v>42</v>
      </c>
      <c r="C9" s="22" t="s">
        <v>43</v>
      </c>
      <c r="D9" s="112"/>
      <c r="E9" s="112"/>
      <c r="F9" s="112"/>
      <c r="G9" s="112"/>
      <c r="H9" s="112"/>
      <c r="I9" s="113"/>
      <c r="J9" s="113"/>
      <c r="K9" s="112" t="s">
        <v>81</v>
      </c>
      <c r="L9" s="112"/>
      <c r="M9" s="112"/>
      <c r="N9" s="112"/>
      <c r="O9" s="112"/>
      <c r="P9" s="113"/>
      <c r="Q9" s="113"/>
      <c r="R9" s="112"/>
      <c r="S9" s="112"/>
      <c r="T9" s="112"/>
      <c r="U9" s="112"/>
      <c r="V9" s="112"/>
      <c r="W9" s="113"/>
      <c r="X9" s="113"/>
      <c r="Y9" s="112"/>
      <c r="Z9" s="112"/>
      <c r="AA9" s="112"/>
      <c r="AB9" s="125"/>
      <c r="AC9" s="112"/>
      <c r="AD9" s="113"/>
      <c r="AE9" s="113"/>
      <c r="AF9" s="112"/>
      <c r="AG9" s="112"/>
      <c r="AH9" s="114"/>
      <c r="AI9" s="115">
        <f t="shared" si="0"/>
        <v>1</v>
      </c>
      <c r="AJ9" s="116">
        <f t="shared" si="1"/>
        <v>0</v>
      </c>
      <c r="AK9" s="116">
        <f t="shared" si="2"/>
        <v>0</v>
      </c>
    </row>
    <row r="10" spans="1:39">
      <c r="A10" s="120" t="s">
        <v>44</v>
      </c>
      <c r="B10" s="1" t="s">
        <v>45</v>
      </c>
      <c r="C10" s="22" t="s">
        <v>46</v>
      </c>
      <c r="D10" s="112"/>
      <c r="E10" s="112"/>
      <c r="F10" s="112"/>
      <c r="G10" s="112"/>
      <c r="H10" s="112"/>
      <c r="I10" s="113"/>
      <c r="J10" s="113"/>
      <c r="K10" s="112"/>
      <c r="L10" s="112"/>
      <c r="M10" s="112"/>
      <c r="N10" s="112" t="s">
        <v>82</v>
      </c>
      <c r="O10" s="112"/>
      <c r="P10" s="113"/>
      <c r="Q10" s="113"/>
      <c r="R10" s="112"/>
      <c r="S10" s="112"/>
      <c r="T10" s="112" t="s">
        <v>82</v>
      </c>
      <c r="U10" s="112"/>
      <c r="V10" s="112"/>
      <c r="W10" s="113"/>
      <c r="X10" s="113"/>
      <c r="Y10" s="112"/>
      <c r="Z10" s="112"/>
      <c r="AA10" s="112"/>
      <c r="AB10" s="125"/>
      <c r="AC10" s="112"/>
      <c r="AD10" s="113"/>
      <c r="AE10" s="113"/>
      <c r="AF10" s="112"/>
      <c r="AG10" s="112"/>
      <c r="AH10" s="114"/>
      <c r="AI10" s="115">
        <f t="shared" si="0"/>
        <v>0</v>
      </c>
      <c r="AJ10" s="116">
        <f t="shared" si="1"/>
        <v>2</v>
      </c>
      <c r="AK10" s="116">
        <f t="shared" si="2"/>
        <v>0</v>
      </c>
    </row>
    <row r="11" spans="1:39">
      <c r="A11" s="118" t="s">
        <v>47</v>
      </c>
      <c r="B11" s="1" t="s">
        <v>48</v>
      </c>
      <c r="C11" s="22" t="s">
        <v>49</v>
      </c>
      <c r="D11" s="112"/>
      <c r="E11" s="112"/>
      <c r="F11" s="112"/>
      <c r="G11" s="112"/>
      <c r="H11" s="112"/>
      <c r="I11" s="113"/>
      <c r="J11" s="113"/>
      <c r="K11" s="112" t="s">
        <v>82</v>
      </c>
      <c r="L11" s="112" t="s">
        <v>82</v>
      </c>
      <c r="M11" s="112" t="s">
        <v>82</v>
      </c>
      <c r="N11" s="112" t="s">
        <v>81</v>
      </c>
      <c r="O11" s="112" t="s">
        <v>128</v>
      </c>
      <c r="P11" s="113"/>
      <c r="Q11" s="113"/>
      <c r="R11" s="112"/>
      <c r="S11" s="112"/>
      <c r="T11" s="112"/>
      <c r="U11" s="112"/>
      <c r="V11" s="112"/>
      <c r="W11" s="113"/>
      <c r="X11" s="113"/>
      <c r="Y11" s="112" t="s">
        <v>82</v>
      </c>
      <c r="Z11" s="112" t="s">
        <v>82</v>
      </c>
      <c r="AA11" s="112"/>
      <c r="AB11" s="125"/>
      <c r="AC11" s="112"/>
      <c r="AD11" s="113"/>
      <c r="AE11" s="113"/>
      <c r="AF11" s="112"/>
      <c r="AG11" s="112"/>
      <c r="AH11" s="114"/>
      <c r="AI11" s="115">
        <f t="shared" si="0"/>
        <v>1</v>
      </c>
      <c r="AJ11" s="116">
        <f t="shared" si="1"/>
        <v>5</v>
      </c>
      <c r="AK11" s="116">
        <f t="shared" si="2"/>
        <v>0</v>
      </c>
    </row>
    <row r="12" spans="1:39">
      <c r="A12" s="1" t="s">
        <v>50</v>
      </c>
      <c r="B12" s="1" t="s">
        <v>51</v>
      </c>
      <c r="C12" s="22" t="s">
        <v>52</v>
      </c>
      <c r="D12" s="112"/>
      <c r="E12" s="112"/>
      <c r="F12" s="112"/>
      <c r="G12" s="112"/>
      <c r="H12" s="112"/>
      <c r="I12" s="113"/>
      <c r="J12" s="113"/>
      <c r="K12" s="112"/>
      <c r="L12" s="112"/>
      <c r="M12" s="112"/>
      <c r="N12" s="112"/>
      <c r="O12" s="112"/>
      <c r="P12" s="113"/>
      <c r="Q12" s="113"/>
      <c r="R12" s="112"/>
      <c r="S12" s="112"/>
      <c r="T12" s="112"/>
      <c r="U12" s="112"/>
      <c r="V12" s="112"/>
      <c r="W12" s="113"/>
      <c r="X12" s="113"/>
      <c r="Y12" s="112"/>
      <c r="Z12" s="112"/>
      <c r="AA12" s="112"/>
      <c r="AB12" s="125"/>
      <c r="AC12" s="112"/>
      <c r="AD12" s="113"/>
      <c r="AE12" s="113"/>
      <c r="AF12" s="112"/>
      <c r="AG12" s="112"/>
      <c r="AH12" s="114"/>
      <c r="AI12" s="115">
        <f t="shared" si="0"/>
        <v>0</v>
      </c>
      <c r="AJ12" s="116">
        <f t="shared" si="1"/>
        <v>0</v>
      </c>
      <c r="AK12" s="116">
        <f t="shared" si="2"/>
        <v>0</v>
      </c>
    </row>
    <row r="13" spans="1:39">
      <c r="A13" s="41"/>
      <c r="B13" s="41" t="s">
        <v>55</v>
      </c>
      <c r="C13" s="111"/>
      <c r="D13" s="112"/>
      <c r="E13" s="112"/>
      <c r="F13" s="112"/>
      <c r="G13" s="112"/>
      <c r="H13" s="112"/>
      <c r="I13" s="113"/>
      <c r="J13" s="113"/>
      <c r="K13" s="112"/>
      <c r="L13" s="112"/>
      <c r="M13" s="112"/>
      <c r="N13" s="112"/>
      <c r="O13" s="112" t="s">
        <v>82</v>
      </c>
      <c r="P13" s="113"/>
      <c r="Q13" s="113"/>
      <c r="R13" s="112"/>
      <c r="S13" s="112"/>
      <c r="T13" s="112"/>
      <c r="U13" s="112"/>
      <c r="V13" s="112" t="s">
        <v>82</v>
      </c>
      <c r="W13" s="113"/>
      <c r="X13" s="113"/>
      <c r="Y13" s="112"/>
      <c r="Z13" s="112"/>
      <c r="AA13" s="112"/>
      <c r="AB13" s="125"/>
      <c r="AC13" s="112"/>
      <c r="AD13" s="113"/>
      <c r="AE13" s="113"/>
      <c r="AF13" s="112"/>
      <c r="AG13" s="112"/>
      <c r="AH13" s="114"/>
      <c r="AI13" s="115">
        <f t="shared" si="0"/>
        <v>0</v>
      </c>
      <c r="AJ13" s="116">
        <f t="shared" si="1"/>
        <v>2</v>
      </c>
      <c r="AK13" s="116">
        <f t="shared" si="2"/>
        <v>0</v>
      </c>
    </row>
    <row r="14" spans="1:39">
      <c r="A14" s="41"/>
      <c r="B14" s="41" t="s">
        <v>53</v>
      </c>
      <c r="C14" s="22" t="s">
        <v>59</v>
      </c>
      <c r="D14" s="112"/>
      <c r="E14" s="112"/>
      <c r="F14" s="112"/>
      <c r="G14" s="112"/>
      <c r="H14" s="112"/>
      <c r="I14" s="113"/>
      <c r="J14" s="113"/>
      <c r="K14" s="112"/>
      <c r="L14" s="112"/>
      <c r="M14" s="112"/>
      <c r="N14" s="112"/>
      <c r="O14" s="112"/>
      <c r="P14" s="113"/>
      <c r="Q14" s="113"/>
      <c r="R14" s="112"/>
      <c r="S14" s="112" t="s">
        <v>82</v>
      </c>
      <c r="T14" s="112"/>
      <c r="U14" s="112"/>
      <c r="V14" s="112"/>
      <c r="W14" s="113"/>
      <c r="X14" s="113"/>
      <c r="Y14" s="112"/>
      <c r="Z14" s="112"/>
      <c r="AA14" s="112"/>
      <c r="AB14" s="125"/>
      <c r="AC14" s="112"/>
      <c r="AD14" s="113"/>
      <c r="AE14" s="113"/>
      <c r="AF14" s="112"/>
      <c r="AG14" s="112"/>
      <c r="AH14" s="114"/>
      <c r="AI14" s="115">
        <f t="shared" si="0"/>
        <v>0</v>
      </c>
      <c r="AJ14" s="116">
        <f t="shared" si="1"/>
        <v>1</v>
      </c>
      <c r="AK14" s="116">
        <f t="shared" si="2"/>
        <v>0</v>
      </c>
    </row>
    <row r="15" spans="1:39">
      <c r="A15" s="41"/>
      <c r="B15" s="1" t="s">
        <v>60</v>
      </c>
      <c r="C15" s="22" t="s">
        <v>61</v>
      </c>
      <c r="D15" s="112" t="s">
        <v>82</v>
      </c>
      <c r="E15" s="112"/>
      <c r="F15" s="112"/>
      <c r="G15" s="112"/>
      <c r="H15" s="112"/>
      <c r="I15" s="113"/>
      <c r="J15" s="113"/>
      <c r="K15" s="112"/>
      <c r="L15" s="112" t="s">
        <v>82</v>
      </c>
      <c r="M15" s="112"/>
      <c r="N15" s="112"/>
      <c r="O15" s="112"/>
      <c r="P15" s="113"/>
      <c r="Q15" s="113"/>
      <c r="R15" s="112"/>
      <c r="S15" s="112"/>
      <c r="T15" s="112"/>
      <c r="U15" s="112"/>
      <c r="V15" s="112"/>
      <c r="W15" s="113"/>
      <c r="X15" s="113"/>
      <c r="Y15" s="112" t="s">
        <v>81</v>
      </c>
      <c r="Z15" s="112"/>
      <c r="AA15" s="112"/>
      <c r="AB15" s="125"/>
      <c r="AC15" s="112"/>
      <c r="AD15" s="113"/>
      <c r="AE15" s="113"/>
      <c r="AF15" s="112"/>
      <c r="AG15" s="112"/>
      <c r="AH15" s="114"/>
      <c r="AI15" s="115">
        <f t="shared" si="0"/>
        <v>1</v>
      </c>
      <c r="AJ15" s="116">
        <f t="shared" si="1"/>
        <v>2</v>
      </c>
      <c r="AK15" s="116">
        <f t="shared" si="2"/>
        <v>0</v>
      </c>
    </row>
    <row r="16" spans="1:39">
      <c r="A16" s="41"/>
      <c r="B16" s="1" t="s">
        <v>62</v>
      </c>
      <c r="C16" s="22" t="s">
        <v>63</v>
      </c>
      <c r="D16" s="112" t="s">
        <v>81</v>
      </c>
      <c r="E16" s="112"/>
      <c r="F16" s="112"/>
      <c r="G16" s="112"/>
      <c r="H16" s="112"/>
      <c r="I16" s="113"/>
      <c r="J16" s="113"/>
      <c r="K16" s="112"/>
      <c r="L16" s="112"/>
      <c r="M16" s="112"/>
      <c r="N16" s="112"/>
      <c r="O16" s="112"/>
      <c r="P16" s="113"/>
      <c r="Q16" s="113"/>
      <c r="R16" s="112"/>
      <c r="S16" s="112"/>
      <c r="T16" s="112"/>
      <c r="U16" s="112"/>
      <c r="V16" s="112" t="s">
        <v>82</v>
      </c>
      <c r="W16" s="113"/>
      <c r="X16" s="113"/>
      <c r="Y16" s="112"/>
      <c r="Z16" s="112"/>
      <c r="AA16" s="112"/>
      <c r="AB16" s="125"/>
      <c r="AC16" s="112"/>
      <c r="AD16" s="113"/>
      <c r="AE16" s="113"/>
      <c r="AF16" s="112"/>
      <c r="AG16" s="112"/>
      <c r="AH16" s="114"/>
      <c r="AI16" s="115">
        <f t="shared" si="0"/>
        <v>1</v>
      </c>
      <c r="AJ16" s="116">
        <f t="shared" si="1"/>
        <v>1</v>
      </c>
      <c r="AK16" s="116">
        <f t="shared" si="2"/>
        <v>0</v>
      </c>
    </row>
    <row r="17" spans="1:37">
      <c r="A17" s="41"/>
      <c r="B17" s="1" t="s">
        <v>65</v>
      </c>
      <c r="C17" s="22" t="s">
        <v>63</v>
      </c>
      <c r="D17" s="112"/>
      <c r="E17" s="112"/>
      <c r="F17" s="112"/>
      <c r="G17" s="112"/>
      <c r="H17" s="112"/>
      <c r="I17" s="113"/>
      <c r="J17" s="113"/>
      <c r="K17" s="112"/>
      <c r="L17" s="112"/>
      <c r="M17" s="112"/>
      <c r="N17" s="112" t="s">
        <v>81</v>
      </c>
      <c r="O17" s="112"/>
      <c r="P17" s="113"/>
      <c r="Q17" s="113"/>
      <c r="R17" s="112"/>
      <c r="S17" s="112"/>
      <c r="T17" s="112"/>
      <c r="U17" s="112"/>
      <c r="V17" s="112"/>
      <c r="W17" s="113"/>
      <c r="X17" s="113"/>
      <c r="Y17" s="112"/>
      <c r="Z17" s="112"/>
      <c r="AA17" s="112"/>
      <c r="AB17" s="125"/>
      <c r="AC17" s="112"/>
      <c r="AD17" s="113"/>
      <c r="AE17" s="113"/>
      <c r="AF17" s="112"/>
      <c r="AG17" s="112"/>
      <c r="AH17" s="114"/>
      <c r="AI17" s="115">
        <f t="shared" si="0"/>
        <v>1</v>
      </c>
      <c r="AJ17" s="116">
        <f t="shared" si="1"/>
        <v>0</v>
      </c>
      <c r="AK17" s="116">
        <f t="shared" si="2"/>
        <v>0</v>
      </c>
    </row>
    <row r="18" spans="1:37">
      <c r="A18" s="41"/>
      <c r="B18" s="1" t="s">
        <v>66</v>
      </c>
      <c r="C18" s="22" t="s">
        <v>67</v>
      </c>
      <c r="D18" s="112"/>
      <c r="E18" s="112"/>
      <c r="F18" s="112"/>
      <c r="G18" s="112"/>
      <c r="H18" s="112"/>
      <c r="I18" s="113"/>
      <c r="J18" s="113"/>
      <c r="K18" s="112"/>
      <c r="L18" s="112"/>
      <c r="M18" s="112"/>
      <c r="N18" s="112"/>
      <c r="O18" s="112"/>
      <c r="P18" s="113"/>
      <c r="Q18" s="113"/>
      <c r="R18" s="112"/>
      <c r="S18" s="112"/>
      <c r="T18" s="112"/>
      <c r="U18" s="112"/>
      <c r="V18" s="112" t="s">
        <v>82</v>
      </c>
      <c r="W18" s="113"/>
      <c r="X18" s="113"/>
      <c r="Y18" s="112"/>
      <c r="Z18" s="112"/>
      <c r="AA18" s="112"/>
      <c r="AB18" s="125"/>
      <c r="AC18" s="112"/>
      <c r="AD18" s="113"/>
      <c r="AE18" s="113"/>
      <c r="AF18" s="112"/>
      <c r="AG18" s="112"/>
      <c r="AH18" s="114"/>
      <c r="AI18" s="115">
        <f t="shared" si="0"/>
        <v>0</v>
      </c>
      <c r="AJ18" s="116">
        <f t="shared" si="1"/>
        <v>1</v>
      </c>
      <c r="AK18" s="116">
        <f t="shared" si="2"/>
        <v>0</v>
      </c>
    </row>
    <row r="19" spans="1:37">
      <c r="A19" s="41"/>
      <c r="B19" s="1" t="s">
        <v>69</v>
      </c>
      <c r="C19" s="22" t="s">
        <v>67</v>
      </c>
      <c r="D19" s="112"/>
      <c r="E19" s="112"/>
      <c r="F19" s="112"/>
      <c r="G19" s="112"/>
      <c r="H19" s="112"/>
      <c r="I19" s="113"/>
      <c r="J19" s="113"/>
      <c r="K19" s="112" t="s">
        <v>81</v>
      </c>
      <c r="L19" s="112" t="s">
        <v>81</v>
      </c>
      <c r="M19" s="112"/>
      <c r="N19" s="112"/>
      <c r="O19" s="112"/>
      <c r="P19" s="113"/>
      <c r="Q19" s="113"/>
      <c r="R19" s="112"/>
      <c r="S19" s="112"/>
      <c r="T19" s="112"/>
      <c r="U19" s="112"/>
      <c r="V19" s="112"/>
      <c r="W19" s="113"/>
      <c r="X19" s="113"/>
      <c r="Y19" s="112"/>
      <c r="Z19" s="112"/>
      <c r="AA19" s="112"/>
      <c r="AB19" s="125"/>
      <c r="AC19" s="112"/>
      <c r="AD19" s="113"/>
      <c r="AE19" s="113"/>
      <c r="AF19" s="112"/>
      <c r="AG19" s="112"/>
      <c r="AH19" s="114"/>
      <c r="AI19" s="115">
        <f t="shared" si="0"/>
        <v>2</v>
      </c>
      <c r="AJ19" s="116">
        <f t="shared" si="1"/>
        <v>0</v>
      </c>
      <c r="AK19" s="116">
        <f t="shared" si="2"/>
        <v>0</v>
      </c>
    </row>
    <row r="20" spans="1:37">
      <c r="A20" s="121"/>
      <c r="B20" s="51" t="s">
        <v>70</v>
      </c>
      <c r="C20" s="27" t="s">
        <v>71</v>
      </c>
      <c r="D20" s="112"/>
      <c r="E20" s="112"/>
      <c r="F20" s="112"/>
      <c r="G20" s="112"/>
      <c r="H20" s="112"/>
      <c r="I20" s="113"/>
      <c r="J20" s="113"/>
      <c r="K20" s="112"/>
      <c r="L20" s="112"/>
      <c r="M20" s="112"/>
      <c r="N20" s="112"/>
      <c r="O20" s="112"/>
      <c r="P20" s="113"/>
      <c r="Q20" s="113"/>
      <c r="R20" s="112"/>
      <c r="S20" s="112"/>
      <c r="T20" s="112"/>
      <c r="U20" s="112"/>
      <c r="V20" s="112"/>
      <c r="W20" s="113"/>
      <c r="X20" s="113"/>
      <c r="Y20" s="112"/>
      <c r="Z20" s="112"/>
      <c r="AA20" s="112"/>
      <c r="AB20" s="125"/>
      <c r="AC20" s="112"/>
      <c r="AD20" s="113"/>
      <c r="AE20" s="113"/>
      <c r="AF20" s="112"/>
      <c r="AG20" s="112"/>
      <c r="AH20" s="114"/>
      <c r="AI20" s="115">
        <f t="shared" si="0"/>
        <v>0</v>
      </c>
      <c r="AJ20" s="116">
        <f t="shared" si="1"/>
        <v>0</v>
      </c>
      <c r="AK20" s="116">
        <f t="shared" si="2"/>
        <v>0</v>
      </c>
    </row>
    <row r="21" spans="1:37">
      <c r="A21" s="122" t="s">
        <v>74</v>
      </c>
      <c r="B21" s="121" t="s">
        <v>75</v>
      </c>
      <c r="C21" s="122" t="s">
        <v>76</v>
      </c>
      <c r="D21" s="112"/>
      <c r="E21" s="112"/>
      <c r="F21" s="112"/>
      <c r="G21" s="112"/>
      <c r="H21" s="112"/>
      <c r="I21" s="113"/>
      <c r="J21" s="113"/>
      <c r="K21" s="112"/>
      <c r="L21" s="112"/>
      <c r="M21" s="112"/>
      <c r="N21" s="112"/>
      <c r="O21" s="112"/>
      <c r="P21" s="113"/>
      <c r="Q21" s="113"/>
      <c r="R21" s="112"/>
      <c r="S21" s="112"/>
      <c r="T21" s="112"/>
      <c r="U21" s="112"/>
      <c r="V21" s="112"/>
      <c r="W21" s="113"/>
      <c r="X21" s="113"/>
      <c r="Y21" s="112"/>
      <c r="Z21" s="112"/>
      <c r="AA21" s="112"/>
      <c r="AB21" s="125"/>
      <c r="AC21" s="112"/>
      <c r="AD21" s="113"/>
      <c r="AE21" s="113"/>
      <c r="AF21" s="112"/>
      <c r="AG21" s="112"/>
      <c r="AH21" s="114"/>
      <c r="AI21" s="115">
        <f t="shared" si="0"/>
        <v>0</v>
      </c>
      <c r="AJ21" s="116">
        <f t="shared" si="1"/>
        <v>0</v>
      </c>
      <c r="AK21" s="116">
        <f t="shared" si="2"/>
        <v>0</v>
      </c>
    </row>
    <row r="22" spans="1:37">
      <c r="A22" s="41"/>
      <c r="B22" s="41" t="s">
        <v>77</v>
      </c>
      <c r="C22" s="41" t="s">
        <v>78</v>
      </c>
      <c r="D22" s="123"/>
      <c r="E22" s="112"/>
      <c r="F22" s="112"/>
      <c r="G22" s="112"/>
      <c r="H22" s="112"/>
      <c r="I22" s="113"/>
      <c r="J22" s="113"/>
      <c r="K22" s="112"/>
      <c r="L22" s="112"/>
      <c r="M22" s="112"/>
      <c r="N22" s="112"/>
      <c r="O22" s="112"/>
      <c r="P22" s="113"/>
      <c r="Q22" s="113"/>
      <c r="R22" s="112"/>
      <c r="S22" s="112"/>
      <c r="T22" s="112"/>
      <c r="U22" s="112"/>
      <c r="V22" s="112"/>
      <c r="W22" s="113"/>
      <c r="X22" s="113"/>
      <c r="Y22" s="112"/>
      <c r="Z22" s="112"/>
      <c r="AA22" s="112"/>
      <c r="AB22" s="125"/>
      <c r="AC22" s="112"/>
      <c r="AD22" s="113"/>
      <c r="AE22" s="113"/>
      <c r="AF22" s="112"/>
      <c r="AG22" s="112"/>
      <c r="AH22" s="114"/>
      <c r="AI22" s="115">
        <f t="shared" si="0"/>
        <v>0</v>
      </c>
      <c r="AJ22" s="116">
        <f t="shared" si="1"/>
        <v>0</v>
      </c>
      <c r="AK22" s="116">
        <f t="shared" si="2"/>
        <v>0</v>
      </c>
    </row>
    <row r="23" spans="1:37">
      <c r="A23" s="41"/>
      <c r="B23" s="41" t="s">
        <v>79</v>
      </c>
      <c r="C23" s="41" t="s">
        <v>80</v>
      </c>
      <c r="D23" s="123"/>
      <c r="E23" s="112"/>
      <c r="F23" s="112"/>
      <c r="G23" s="112"/>
      <c r="H23" s="112"/>
      <c r="I23" s="113"/>
      <c r="J23" s="113"/>
      <c r="K23" s="112"/>
      <c r="L23" s="112"/>
      <c r="M23" s="112"/>
      <c r="N23" s="112" t="s">
        <v>128</v>
      </c>
      <c r="O23" s="112"/>
      <c r="P23" s="113"/>
      <c r="Q23" s="113"/>
      <c r="R23" s="112"/>
      <c r="S23" s="112"/>
      <c r="T23" s="112"/>
      <c r="U23" s="112"/>
      <c r="V23" s="112"/>
      <c r="W23" s="113"/>
      <c r="X23" s="113"/>
      <c r="Y23" s="112"/>
      <c r="Z23" s="112" t="s">
        <v>82</v>
      </c>
      <c r="AA23" s="112"/>
      <c r="AB23" s="125"/>
      <c r="AC23" s="112" t="s">
        <v>81</v>
      </c>
      <c r="AD23" s="113"/>
      <c r="AE23" s="113"/>
      <c r="AF23" s="112"/>
      <c r="AG23" s="112"/>
      <c r="AH23" s="114"/>
      <c r="AI23" s="115">
        <f t="shared" si="0"/>
        <v>1</v>
      </c>
      <c r="AJ23" s="116">
        <f t="shared" si="1"/>
        <v>1</v>
      </c>
      <c r="AK23" s="116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2025-03-19T07:53:07Z</dcterms:created>
  <dcterms:modified xsi:type="dcterms:W3CDTF">2026-03-10T05:53:51Z</dcterms:modified>
  <cp:category/>
  <cp:contentStatus/>
</cp:coreProperties>
</file>